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hidePivotFieldList="1" defaultThemeVersion="166925"/>
  <mc:AlternateContent xmlns:mc="http://schemas.openxmlformats.org/markup-compatibility/2006">
    <mc:Choice Requires="x15">
      <x15ac:absPath xmlns:x15ac="http://schemas.microsoft.com/office/spreadsheetml/2010/11/ac" url="https://d.docs.live.net/6f2659c7c6951d07/Documents/"/>
    </mc:Choice>
  </mc:AlternateContent>
  <xr:revisionPtr revIDLastSave="19" documentId="8_{1EA80AB1-F71E-4396-B3BE-FD0458337C87}" xr6:coauthVersionLast="36" xr6:coauthVersionMax="36" xr10:uidLastSave="{B726C0BF-1CFC-4E02-B30A-C90D13929916}"/>
  <bookViews>
    <workbookView xWindow="0" yWindow="0" windowWidth="20490" windowHeight="8130" firstSheet="10" activeTab="12" xr2:uid="{00000000-000D-0000-FFFF-FFFF00000000}"/>
  </bookViews>
  <sheets>
    <sheet name="Historical_ticket_data" sheetId="1" r:id="rId1"/>
    <sheet name="Analysis" sheetId="2" r:id="rId2"/>
    <sheet name="Pre Analysis " sheetId="11" r:id="rId3"/>
    <sheet name="In Analysis" sheetId="13" r:id="rId4"/>
    <sheet name="Observation &amp; Recommendation" sheetId="12" r:id="rId5"/>
    <sheet name="Top Companies by Ticket Volume" sheetId="3" r:id="rId6"/>
    <sheet name="Ticket Trends Over Time" sheetId="4" r:id="rId7"/>
    <sheet name="Priority Breakdown" sheetId="5" r:id="rId8"/>
    <sheet name="Sentiment vs. Priority" sheetId="6" r:id="rId9"/>
    <sheet name="Spending vs. Issue Category" sheetId="7" r:id="rId10"/>
    <sheet name="Most Used Solutions" sheetId="8" r:id="rId11"/>
    <sheet name="Resolution Rate by Company" sheetId="9" r:id="rId12"/>
    <sheet name="Dashboard for Jeroid.NG" sheetId="10" r:id="rId13"/>
  </sheets>
  <definedNames>
    <definedName name="Slicer_Issue_Category">#N/A</definedName>
    <definedName name="Slicer_Name_of_Company">#N/A</definedName>
    <definedName name="Slicer_Priority">#N/A</definedName>
    <definedName name="Slicer_Ticket_ID">#N/A</definedName>
  </definedNames>
  <calcPr calcId="0"/>
  <pivotCaches>
    <pivotCache cacheId="2"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Lst>
</workbook>
</file>

<file path=xl/sharedStrings.xml><?xml version="1.0" encoding="utf-8"?>
<sst xmlns="http://schemas.openxmlformats.org/spreadsheetml/2006/main" count="311" uniqueCount="83">
  <si>
    <t>Ticket ID</t>
  </si>
  <si>
    <t xml:space="preserve"> Issue Category</t>
  </si>
  <si>
    <t xml:space="preserve"> Sentiment</t>
  </si>
  <si>
    <t xml:space="preserve"> Priority</t>
  </si>
  <si>
    <t xml:space="preserve"> Solution</t>
  </si>
  <si>
    <t xml:space="preserve"> Date of Resolution</t>
  </si>
  <si>
    <t>TECH_021</t>
  </si>
  <si>
    <t xml:space="preserve"> Software Installation Failure</t>
  </si>
  <si>
    <t xml:space="preserve"> Frustrated</t>
  </si>
  <si>
    <t xml:space="preserve"> High</t>
  </si>
  <si>
    <t xml:space="preserve"> Disable antivirus and retry installation</t>
  </si>
  <si>
    <t xml:space="preserve"> Resolved</t>
  </si>
  <si>
    <t xml:space="preserve"> 2025-03-17</t>
  </si>
  <si>
    <t>TECH_022</t>
  </si>
  <si>
    <t xml:space="preserve"> Download from direct link</t>
  </si>
  <si>
    <t>TECH_023</t>
  </si>
  <si>
    <t xml:space="preserve"> Update to latest version of antivirus</t>
  </si>
  <si>
    <t>TECH_024</t>
  </si>
  <si>
    <t xml:space="preserve"> Network Connectivity Issue</t>
  </si>
  <si>
    <t xml:space="preserve"> Confused</t>
  </si>
  <si>
    <t xml:space="preserve"> Medium</t>
  </si>
  <si>
    <t xml:space="preserve"> Check app permissions for Local Network</t>
  </si>
  <si>
    <t xml:space="preserve"> 2025-03-16</t>
  </si>
  <si>
    <t>TECH_025</t>
  </si>
  <si>
    <t xml:space="preserve"> Clear app cache and relog</t>
  </si>
  <si>
    <t>TECH_026</t>
  </si>
  <si>
    <t xml:space="preserve"> Reinstall the app</t>
  </si>
  <si>
    <t>TECH_027</t>
  </si>
  <si>
    <t xml:space="preserve"> Device Compatibility Error</t>
  </si>
  <si>
    <t xml:space="preserve"> Annoyed</t>
  </si>
  <si>
    <t xml:space="preserve"> Critical</t>
  </si>
  <si>
    <t xml:space="preserve"> Rollback app to version 4.9</t>
  </si>
  <si>
    <t xml:space="preserve"> 2025-03-15</t>
  </si>
  <si>
    <t>TECH_028</t>
  </si>
  <si>
    <t xml:space="preserve"> Offer a discount on a compatible thermostat</t>
  </si>
  <si>
    <t>TECH_029</t>
  </si>
  <si>
    <t xml:space="preserve"> Contact thermostat support for an update</t>
  </si>
  <si>
    <t>TECH_030</t>
  </si>
  <si>
    <t xml:space="preserve"> Account Synchronization Bug</t>
  </si>
  <si>
    <t xml:space="preserve"> Anxious</t>
  </si>
  <si>
    <t xml:space="preserve"> Reset sync token manually</t>
  </si>
  <si>
    <t xml:space="preserve"> 2025-03-14</t>
  </si>
  <si>
    <t>TECH_031</t>
  </si>
  <si>
    <t xml:space="preserve"> Force Full Sync on both devices</t>
  </si>
  <si>
    <t>TECH_032</t>
  </si>
  <si>
    <t>TECH_033</t>
  </si>
  <si>
    <t xml:space="preserve"> Payment Gateway Integration Failure</t>
  </si>
  <si>
    <t xml:space="preserve"> Urgent</t>
  </si>
  <si>
    <t xml:space="preserve"> Upgrade server to TLS 1.3</t>
  </si>
  <si>
    <t xml:space="preserve"> 2025-03-13</t>
  </si>
  <si>
    <t>TECH_034</t>
  </si>
  <si>
    <t xml:space="preserve"> Verify SSL certificate settings</t>
  </si>
  <si>
    <t>TECH_035</t>
  </si>
  <si>
    <t xml:space="preserve"> Use a different gateway API</t>
  </si>
  <si>
    <t>TECH_036</t>
  </si>
  <si>
    <t xml:space="preserve"> Check server firewall settings</t>
  </si>
  <si>
    <t xml:space="preserve">Name of Company </t>
  </si>
  <si>
    <t xml:space="preserve">Foufani Technologies </t>
  </si>
  <si>
    <t>Atech Programs</t>
  </si>
  <si>
    <t>Hisense Tech</t>
  </si>
  <si>
    <t>TECH_037</t>
  </si>
  <si>
    <t>TECH_038</t>
  </si>
  <si>
    <t>TECH_039</t>
  </si>
  <si>
    <t>TECH_040</t>
  </si>
  <si>
    <t>TECH_041</t>
  </si>
  <si>
    <t>Amount Spent</t>
  </si>
  <si>
    <t>Top Companies by Ticket Volume</t>
  </si>
  <si>
    <t>Ticket Trends Over Time</t>
  </si>
  <si>
    <t>Priority Breakdown</t>
  </si>
  <si>
    <t>Sentiment vs. Priority</t>
  </si>
  <si>
    <t>Spending vs. Issue Category</t>
  </si>
  <si>
    <t>Most Used Solutions</t>
  </si>
  <si>
    <t>Spending vs. Resolution Success</t>
  </si>
  <si>
    <t>Resolution Rate by Company</t>
  </si>
  <si>
    <t xml:space="preserve">Analysis </t>
  </si>
  <si>
    <t>JEROID.NG HISTORICAL TICKET DATA REPORT FOR THE YEAR 2024</t>
  </si>
  <si>
    <t>Row Labels</t>
  </si>
  <si>
    <t>Grand Total</t>
  </si>
  <si>
    <t>Count of Ticket ID</t>
  </si>
  <si>
    <t>Count of  Priority</t>
  </si>
  <si>
    <t>Sum of Amount Spent</t>
  </si>
  <si>
    <t>Count of  Solution</t>
  </si>
  <si>
    <t>Resolution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</si>
</sst>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F800]dddd\,\ mmmm\ dd\,\ yyyy"/>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0"/>
      <name val="Calibri"/>
      <family val="2"/>
      <scheme val="minor"/>
    </font>
    <font>
      <sz val="12"/>
      <color theme="1"/>
      <name val="Calibri"/>
      <family val="2"/>
      <scheme val="minor"/>
    </font>
    <font>
      <sz val="12"/>
      <color theme="7" tint="-0.499984740745262"/>
      <name val="Calibri"/>
      <family val="2"/>
      <scheme val="minor"/>
    </font>
    <font>
      <b/>
      <sz val="28"/>
      <color theme="7" tint="-0.499984740745262"/>
      <name val="Calibri"/>
      <family val="2"/>
      <scheme val="minor"/>
    </font>
    <font>
      <b/>
      <sz val="16"/>
      <color theme="0"/>
      <name val="Calibri"/>
      <family val="2"/>
      <scheme val="minor"/>
    </font>
    <font>
      <sz val="16"/>
      <color theme="0"/>
      <name val="Calibri"/>
      <family val="2"/>
      <scheme val="minor"/>
    </font>
    <font>
      <sz val="11"/>
      <color theme="7" tint="-0.499984740745262"/>
      <name val="Calibri"/>
      <family val="2"/>
      <scheme val="minor"/>
    </font>
    <font>
      <b/>
      <sz val="16"/>
      <color rgb="FFFF0000"/>
      <name val="Calibri"/>
      <family val="2"/>
      <scheme val="minor"/>
    </font>
    <font>
      <sz val="16"/>
      <color rgb="FFFF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499984740745262"/>
        <bgColor indexed="64"/>
      </patternFill>
    </fill>
    <fill>
      <patternFill patternType="solid">
        <fgColor theme="7"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8" fillId="33" borderId="0" xfId="0" applyFont="1" applyFill="1"/>
    <xf numFmtId="0" fontId="19" fillId="0" borderId="0" xfId="0" applyFont="1"/>
    <xf numFmtId="0" fontId="22" fillId="34" borderId="0" xfId="0" applyFont="1" applyFill="1"/>
    <xf numFmtId="0" fontId="23" fillId="33" borderId="0" xfId="0" applyFont="1" applyFill="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4" fontId="19" fillId="0" borderId="0" xfId="0" applyNumberFormat="1" applyFont="1"/>
    <xf numFmtId="164" fontId="0" fillId="0" borderId="0" xfId="0" applyNumberFormat="1"/>
    <xf numFmtId="165" fontId="18" fillId="33" borderId="0" xfId="0" applyNumberFormat="1" applyFont="1" applyFill="1"/>
    <xf numFmtId="165" fontId="19" fillId="0" borderId="0" xfId="0" applyNumberFormat="1" applyFont="1"/>
    <xf numFmtId="0" fontId="24" fillId="33" borderId="0" xfId="0" applyFont="1" applyFill="1"/>
    <xf numFmtId="0" fontId="21" fillId="35" borderId="0" xfId="0" applyFont="1" applyFill="1" applyAlignment="1">
      <alignment horizontal="center"/>
    </xf>
    <xf numFmtId="0" fontId="20" fillId="35" borderId="0" xfId="0" applyFont="1" applyFill="1" applyAlignment="1">
      <alignment horizontal="center"/>
    </xf>
    <xf numFmtId="0" fontId="0" fillId="0" borderId="0" xfId="0" applyAlignment="1">
      <alignment horizontal="left" indent="1"/>
    </xf>
    <xf numFmtId="0" fontId="25" fillId="35" borderId="0" xfId="0" applyFont="1" applyFill="1"/>
    <xf numFmtId="0" fontId="0" fillId="35" borderId="0" xfId="0" applyFill="1"/>
    <xf numFmtId="0" fontId="26"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b val="0"/>
        <i val="0"/>
        <sz val="14"/>
        <color theme="7" tint="-0.499984740745262"/>
        <name val="Calibri"/>
        <family val="2"/>
        <scheme val="minor"/>
      </font>
      <border>
        <bottom style="thin">
          <color theme="7"/>
        </bottom>
        <vertical/>
        <horizontal/>
      </border>
    </dxf>
    <dxf>
      <font>
        <b val="0"/>
        <i val="0"/>
        <sz val="12"/>
        <color theme="7" tint="-0.499984740745262"/>
        <name val="Calibri"/>
        <family val="2"/>
        <scheme val="minor"/>
      </font>
      <border>
        <left style="thin">
          <color theme="7"/>
        </left>
        <right style="thin">
          <color theme="7"/>
        </right>
        <top style="thin">
          <color theme="7"/>
        </top>
        <bottom style="thin">
          <color theme="7"/>
        </bottom>
        <vertical/>
        <horizontal/>
      </border>
    </dxf>
    <dxf>
      <numFmt numFmtId="164" formatCode="&quot;$&quot;#,##0.00"/>
    </dxf>
    <dxf>
      <font>
        <b val="0"/>
        <i val="0"/>
        <strike val="0"/>
        <condense val="0"/>
        <extend val="0"/>
        <outline val="0"/>
        <shadow val="0"/>
        <u val="none"/>
        <vertAlign val="baseline"/>
        <sz val="12"/>
        <color theme="1"/>
        <name val="Calibri"/>
        <family val="2"/>
        <scheme val="minor"/>
      </font>
      <numFmt numFmtId="164" formatCode="&quot;$&quot;#,##0.00"/>
    </dxf>
    <dxf>
      <font>
        <b val="0"/>
        <i val="0"/>
        <strike val="0"/>
        <condense val="0"/>
        <extend val="0"/>
        <outline val="0"/>
        <shadow val="0"/>
        <u val="none"/>
        <vertAlign val="baseline"/>
        <sz val="12"/>
        <color theme="1"/>
        <name val="Calibri"/>
        <family val="2"/>
        <scheme val="minor"/>
      </font>
      <numFmt numFmtId="165" formatCode="[$-F800]dddd\,\ mmmm\ dd\,\ yyyy"/>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0"/>
        <name val="Calibri"/>
        <family val="2"/>
        <scheme val="minor"/>
      </font>
      <fill>
        <patternFill patternType="solid">
          <fgColor indexed="64"/>
          <bgColor theme="7" tint="-0.499984740745262"/>
        </patternFill>
      </fill>
    </dxf>
  </dxfs>
  <tableStyles count="1" defaultTableStyle="TableStyleMedium2" defaultPivotStyle="PivotStyleLight16">
    <tableStyle name="SlicerStyleLight4 2" pivot="0" table="0" count="10" xr9:uid="{21970EC9-16A0-436B-9D62-F2235CBEE9C4}">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[Technologies Datasets NEW.xlsx]Top Companies by Ticket Volume!PivotTable1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4">
                    <a:lumMod val="50000"/>
                  </a:schemeClr>
                </a:solidFill>
              </a:rPr>
              <a:t>Top Companies by Ticket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s>
    <c:plotArea>
      <c:layout/>
      <c:barChart>
        <c:barDir val="col"/>
        <c:grouping val="clustered"/>
        <c:varyColors val="0"/>
        <c:ser>
          <c:idx val="0"/>
          <c:order val="0"/>
          <c:tx>
            <c:strRef>
              <c:f>'Top Companies by Ticket Volume'!$B$3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9CFD-4908-8607-74E2580EFF1F}"/>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2-9CFD-4908-8607-74E2580EFF1F}"/>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9CFD-4908-8607-74E2580EFF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Companies by Ticket Volume'!$A$4:$A$7</c:f>
              <c:strCache>
                <c:ptCount val="3"/>
                <c:pt idx="0">
                  <c:v>Foufani Technologies </c:v>
                </c:pt>
                <c:pt idx="1">
                  <c:v>Hisense Tech</c:v>
                </c:pt>
                <c:pt idx="2">
                  <c:v>Atech Programs</c:v>
                </c:pt>
              </c:strCache>
            </c:strRef>
          </c:cat>
          <c:val>
            <c:numRef>
              <c:f>'Top Companies by Ticket Volume'!$B$4:$B$7</c:f>
              <c:numCache>
                <c:formatCode>General</c:formatCode>
                <c:ptCount val="3"/>
                <c:pt idx="0">
                  <c:v>13</c:v>
                </c:pt>
                <c:pt idx="1">
                  <c:v>10</c:v>
                </c:pt>
                <c:pt idx="2">
                  <c:v>7</c:v>
                </c:pt>
              </c:numCache>
            </c:numRef>
          </c:val>
          <c:extLst>
            <c:ext xmlns:c16="http://schemas.microsoft.com/office/drawing/2014/chart" uri="{C3380CC4-5D6E-409C-BE32-E72D297353CC}">
              <c16:uniqueId val="{00000000-9CFD-4908-8607-74E2580EFF1F}"/>
            </c:ext>
          </c:extLst>
        </c:ser>
        <c:dLbls>
          <c:dLblPos val="outEnd"/>
          <c:showLegendKey val="0"/>
          <c:showVal val="1"/>
          <c:showCatName val="0"/>
          <c:showSerName val="0"/>
          <c:showPercent val="0"/>
          <c:showBubbleSize val="0"/>
        </c:dLbls>
        <c:gapWidth val="219"/>
        <c:overlap val="-27"/>
        <c:axId val="272982832"/>
        <c:axId val="364896512"/>
      </c:barChart>
      <c:catAx>
        <c:axId val="27298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endParaRPr lang="en-US"/>
          </a:p>
        </c:txPr>
        <c:crossAx val="364896512"/>
        <c:crosses val="autoZero"/>
        <c:auto val="1"/>
        <c:lblAlgn val="ctr"/>
        <c:lblOffset val="100"/>
        <c:noMultiLvlLbl val="0"/>
      </c:catAx>
      <c:valAx>
        <c:axId val="3648965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7298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[Technologies Datasets NEW.xlsx]Ticket Trends Over Time!PivotTable1</c:name>
    <c:fmtId val="0"/>
  </c:pivotSource>
  <c:chart>
    <c:title>
      <c:tx>
        <c:rich>
          <a:bodyPr rot="0" spcFirstLastPara="1" vertOverflow="ellipsis" vert="horz" wrap="square" anchor="ctr" anchorCtr="1"/>
          <a:lstStyle/>
          <a:p>
            <a:pPr>
              <a:defRPr sz="1800" b="0" i="0" u="none" strike="noStrike" kern="1200" spc="0" baseline="0">
                <a:solidFill>
                  <a:schemeClr val="accent4">
                    <a:lumMod val="50000"/>
                  </a:schemeClr>
                </a:solidFill>
                <a:latin typeface="+mn-lt"/>
                <a:ea typeface="+mn-ea"/>
                <a:cs typeface="+mn-cs"/>
              </a:defRPr>
            </a:pPr>
            <a:r>
              <a:rPr lang="en-US" sz="1800" b="1">
                <a:solidFill>
                  <a:schemeClr val="accent4">
                    <a:lumMod val="50000"/>
                  </a:schemeClr>
                </a:solidFill>
              </a:rPr>
              <a:t>Ticket Trends Over Time</a:t>
            </a:r>
          </a:p>
        </c:rich>
      </c:tx>
      <c:layout>
        <c:manualLayout>
          <c:xMode val="edge"/>
          <c:yMode val="edge"/>
          <c:x val="0.3447762999332506"/>
          <c:y val="2.777777777777777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'Ticket Trends Over Time'!$B$3</c:f>
              <c:strCache>
                <c:ptCount val="1"/>
                <c:pt idx="0">
                  <c:v>Total</c:v>
                </c:pt>
              </c:strCache>
            </c:strRef>
          </c:tx>
          <c:spPr>
            <a:ln w="28575" cap="rnd">
              <a:solidFill>
                <a:schemeClr val="accent4">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'Ticket Trends Over Time'!$A$4:$A$9</c:f>
              <c:strCache>
                <c:ptCount val="5"/>
                <c:pt idx="0">
                  <c:v> 2025-03-13</c:v>
                </c:pt>
                <c:pt idx="1">
                  <c:v> 2025-03-14</c:v>
                </c:pt>
                <c:pt idx="2">
                  <c:v> 2025-03-15</c:v>
                </c:pt>
                <c:pt idx="3">
                  <c:v> 2025-03-16</c:v>
                </c:pt>
                <c:pt idx="4">
                  <c:v> 2025-03-17</c:v>
                </c:pt>
              </c:strCache>
            </c:strRef>
          </c:cat>
          <c:val>
            <c:numRef>
              <c:f>'Ticket Trends Over Time'!$B$4:$B$9</c:f>
              <c:numCache>
                <c:formatCode>General</c:formatCode>
                <c:ptCount val="5"/>
                <c:pt idx="0">
                  <c:v>9</c:v>
                </c:pt>
                <c:pt idx="1">
                  <c:v>5</c:v>
                </c:pt>
                <c:pt idx="2">
                  <c:v>6</c:v>
                </c:pt>
                <c:pt idx="3">
                  <c:v>6</c:v>
                </c:pt>
                <c:pt idx="4">
                  <c:v>4</c:v>
                </c:pt>
              </c:numCache>
            </c:numRef>
          </c:val>
          <c:smooth val="0"/>
          <c:extLst>
            <c:ext xmlns:c16="http://schemas.microsoft.com/office/drawing/2014/chart" uri="{C3380CC4-5D6E-409C-BE32-E72D297353CC}">
              <c16:uniqueId val="{00000000-FDAA-443B-8D22-ED62B68259CB}"/>
            </c:ext>
          </c:extLst>
        </c:ser>
        <c:dLbls>
          <c:dLblPos val="t"/>
          <c:showLegendKey val="0"/>
          <c:showVal val="1"/>
          <c:showCatName val="0"/>
          <c:showSerName val="0"/>
          <c:showPercent val="0"/>
          <c:showBubbleSize val="0"/>
        </c:dLbls>
        <c:smooth val="0"/>
        <c:axId val="275379840"/>
        <c:axId val="270346160"/>
      </c:lineChart>
      <c:catAx>
        <c:axId val="27537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endParaRPr lang="en-US"/>
          </a:p>
        </c:txPr>
        <c:crossAx val="270346160"/>
        <c:crosses val="autoZero"/>
        <c:auto val="1"/>
        <c:lblAlgn val="ctr"/>
        <c:lblOffset val="100"/>
        <c:noMultiLvlLbl val="0"/>
      </c:catAx>
      <c:valAx>
        <c:axId val="2703461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75379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[Technologies Datasets NEW.xlsx]Priority Breakdown!PivotTable1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4">
                    <a:lumMod val="50000"/>
                  </a:schemeClr>
                </a:solidFill>
              </a:rPr>
              <a:t>Priority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noFill/>
          </a:ln>
          <a:effectLst/>
        </c:spPr>
      </c:pivotFmt>
      <c:pivotFmt>
        <c:idx val="2"/>
        <c:spPr>
          <a:solidFill>
            <a:schemeClr val="accent4">
              <a:lumMod val="75000"/>
            </a:schemeClr>
          </a:solidFill>
          <a:ln w="19050">
            <a:noFill/>
          </a:ln>
          <a:effectLst/>
        </c:spPr>
      </c:pivotFmt>
      <c:pivotFmt>
        <c:idx val="3"/>
        <c:spPr>
          <a:solidFill>
            <a:schemeClr val="accent4">
              <a:lumMod val="60000"/>
              <a:lumOff val="40000"/>
            </a:schemeClr>
          </a:solidFill>
          <a:ln w="19050">
            <a:noFill/>
          </a:ln>
          <a:effectLst/>
        </c:spPr>
      </c:pivotFmt>
    </c:pivotFmts>
    <c:plotArea>
      <c:layout>
        <c:manualLayout>
          <c:layoutTarget val="inner"/>
          <c:xMode val="edge"/>
          <c:yMode val="edge"/>
          <c:x val="0.21878122052303148"/>
          <c:y val="0.24319553805774283"/>
          <c:w val="0.40047572178477692"/>
          <c:h val="0.66745953630796151"/>
        </c:manualLayout>
      </c:layout>
      <c:doughnutChart>
        <c:varyColors val="1"/>
        <c:ser>
          <c:idx val="0"/>
          <c:order val="0"/>
          <c:tx>
            <c:strRef>
              <c:f>'Priority Breakdown'!$B$3</c:f>
              <c:strCache>
                <c:ptCount val="1"/>
                <c:pt idx="0">
                  <c:v>Total</c:v>
                </c:pt>
              </c:strCache>
            </c:strRef>
          </c:tx>
          <c:dPt>
            <c:idx val="0"/>
            <c:bubble3D val="0"/>
            <c:spPr>
              <a:solidFill>
                <a:schemeClr val="accent4">
                  <a:lumMod val="50000"/>
                </a:schemeClr>
              </a:solidFill>
              <a:ln w="19050">
                <a:noFill/>
              </a:ln>
              <a:effectLst/>
            </c:spPr>
            <c:extLst>
              <c:ext xmlns:c16="http://schemas.microsoft.com/office/drawing/2014/chart" uri="{C3380CC4-5D6E-409C-BE32-E72D297353CC}">
                <c16:uniqueId val="{00000001-671F-4CD6-8A31-DF8BE0EE7623}"/>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2-671F-4CD6-8A31-DF8BE0EE7623}"/>
              </c:ext>
            </c:extLst>
          </c:dPt>
          <c:dPt>
            <c:idx val="2"/>
            <c:bubble3D val="0"/>
            <c:spPr>
              <a:solidFill>
                <a:schemeClr val="accent4">
                  <a:lumMod val="60000"/>
                  <a:lumOff val="40000"/>
                </a:schemeClr>
              </a:solidFill>
              <a:ln w="19050">
                <a:noFill/>
              </a:ln>
              <a:effectLst/>
            </c:spPr>
            <c:extLst>
              <c:ext xmlns:c16="http://schemas.microsoft.com/office/drawing/2014/chart" uri="{C3380CC4-5D6E-409C-BE32-E72D297353CC}">
                <c16:uniqueId val="{00000003-671F-4CD6-8A31-DF8BE0EE7623}"/>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'Priority Breakdown'!$A$4:$A$7</c:f>
              <c:strCache>
                <c:ptCount val="3"/>
                <c:pt idx="0">
                  <c:v> Critical</c:v>
                </c:pt>
                <c:pt idx="1">
                  <c:v> High</c:v>
                </c:pt>
                <c:pt idx="2">
                  <c:v> Medium</c:v>
                </c:pt>
              </c:strCache>
            </c:strRef>
          </c:cat>
          <c:val>
            <c:numRef>
              <c:f>'Priority Breakdown'!$B$4:$B$7</c:f>
              <c:numCache>
                <c:formatCode>General</c:formatCode>
                <c:ptCount val="3"/>
                <c:pt idx="0">
                  <c:v>11</c:v>
                </c:pt>
                <c:pt idx="1">
                  <c:v>11</c:v>
                </c:pt>
                <c:pt idx="2">
                  <c:v>8</c:v>
                </c:pt>
              </c:numCache>
            </c:numRef>
          </c:val>
          <c:extLst>
            <c:ext xmlns:c16="http://schemas.microsoft.com/office/drawing/2014/chart" uri="{C3380CC4-5D6E-409C-BE32-E72D297353CC}">
              <c16:uniqueId val="{00000000-671F-4CD6-8A31-DF8BE0EE762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383624876127509"/>
          <c:y val="0.63975778308610298"/>
          <c:w val="0.24269282207047388"/>
          <c:h val="0.3333003037541655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[Technologies Datasets NEW.xlsx]Sentiment vs. Priority!PivotTable1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4">
                    <a:lumMod val="50000"/>
                  </a:schemeClr>
                </a:solidFill>
              </a:rPr>
              <a:t>Sentiment vs.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noFill/>
          </a:ln>
          <a:effectLst/>
        </c:spPr>
      </c:pivotFmt>
      <c:pivotFmt>
        <c:idx val="2"/>
        <c:spPr>
          <a:solidFill>
            <a:schemeClr val="accent4">
              <a:lumMod val="75000"/>
            </a:schemeClr>
          </a:solidFill>
          <a:ln w="19050">
            <a:noFill/>
          </a:ln>
          <a:effectLst/>
        </c:spPr>
      </c:pivotFmt>
      <c:pivotFmt>
        <c:idx val="3"/>
        <c:spPr>
          <a:solidFill>
            <a:schemeClr val="accent4">
              <a:lumMod val="60000"/>
              <a:lumOff val="40000"/>
            </a:schemeClr>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w="19050">
            <a:noFill/>
          </a:ln>
          <a:effectLst/>
        </c:spPr>
      </c:pivotFmt>
      <c:pivotFmt>
        <c:idx val="6"/>
        <c:spPr>
          <a:solidFill>
            <a:schemeClr val="accent4">
              <a:lumMod val="75000"/>
            </a:schemeClr>
          </a:solidFill>
          <a:ln w="19050">
            <a:noFill/>
          </a:ln>
          <a:effectLst/>
        </c:spPr>
      </c:pivotFmt>
      <c:pivotFmt>
        <c:idx val="7"/>
        <c:spPr>
          <a:solidFill>
            <a:schemeClr val="accent4">
              <a:lumMod val="60000"/>
              <a:lumOff val="40000"/>
            </a:schemeClr>
          </a:solidFill>
          <a:ln w="19050">
            <a:no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w="19050">
            <a:noFill/>
          </a:ln>
          <a:effectLst/>
        </c:spPr>
      </c:pivotFmt>
      <c:pivotFmt>
        <c:idx val="13"/>
        <c:spPr>
          <a:solidFill>
            <a:schemeClr val="accent4">
              <a:lumMod val="50000"/>
            </a:schemeClr>
          </a:solidFill>
          <a:ln w="19050">
            <a:noFill/>
          </a:ln>
          <a:effectLst/>
        </c:spPr>
      </c:pivotFmt>
      <c:pivotFmt>
        <c:idx val="14"/>
        <c:spPr>
          <a:solidFill>
            <a:schemeClr val="accent4">
              <a:lumMod val="60000"/>
              <a:lumOff val="40000"/>
            </a:schemeClr>
          </a:solidFill>
          <a:ln w="19050">
            <a:noFill/>
          </a:ln>
          <a:effectLst/>
        </c:spPr>
      </c:pivotFmt>
      <c:pivotFmt>
        <c:idx val="15"/>
        <c:spPr>
          <a:solidFill>
            <a:schemeClr val="accent4">
              <a:lumMod val="40000"/>
              <a:lumOff val="60000"/>
            </a:schemeClr>
          </a:solidFill>
          <a:ln w="19050">
            <a:noFill/>
          </a:ln>
          <a:effectLst/>
        </c:spPr>
      </c:pivotFmt>
      <c:pivotFmt>
        <c:idx val="16"/>
        <c:spPr>
          <a:solidFill>
            <a:schemeClr val="accent4">
              <a:lumMod val="20000"/>
              <a:lumOff val="80000"/>
            </a:schemeClr>
          </a:solidFill>
          <a:ln w="19050">
            <a:noFill/>
          </a:ln>
          <a:effectLst/>
        </c:spPr>
      </c:pivotFmt>
    </c:pivotFmts>
    <c:plotArea>
      <c:layout>
        <c:manualLayout>
          <c:layoutTarget val="inner"/>
          <c:xMode val="edge"/>
          <c:yMode val="edge"/>
          <c:x val="0.24863495188101487"/>
          <c:y val="0.21277486147564889"/>
          <c:w val="0.42825349956255465"/>
          <c:h val="0.71375583260425768"/>
        </c:manualLayout>
      </c:layout>
      <c:doughnutChart>
        <c:varyColors val="1"/>
        <c:ser>
          <c:idx val="0"/>
          <c:order val="0"/>
          <c:tx>
            <c:strRef>
              <c:f>'Sentiment vs. Priority'!$B$3</c:f>
              <c:strCache>
                <c:ptCount val="1"/>
                <c:pt idx="0">
                  <c:v>Total</c:v>
                </c:pt>
              </c:strCache>
            </c:strRef>
          </c:tx>
          <c:dPt>
            <c:idx val="0"/>
            <c:bubble3D val="0"/>
            <c:spPr>
              <a:solidFill>
                <a:schemeClr val="accent4">
                  <a:lumMod val="60000"/>
                  <a:lumOff val="40000"/>
                </a:schemeClr>
              </a:solidFill>
              <a:ln w="19050">
                <a:noFill/>
              </a:ln>
              <a:effectLst/>
            </c:spPr>
            <c:extLst>
              <c:ext xmlns:c16="http://schemas.microsoft.com/office/drawing/2014/chart" uri="{C3380CC4-5D6E-409C-BE32-E72D297353CC}">
                <c16:uniqueId val="{0000000D-2E2E-44A2-84D0-FCAD7DD6CA70}"/>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B-2E2E-44A2-84D0-FCAD7DD6CA70}"/>
              </c:ext>
            </c:extLst>
          </c:dPt>
          <c:dPt>
            <c:idx val="2"/>
            <c:bubble3D val="0"/>
            <c:spPr>
              <a:solidFill>
                <a:schemeClr val="accent4">
                  <a:lumMod val="50000"/>
                </a:schemeClr>
              </a:solidFill>
              <a:ln w="19050">
                <a:noFill/>
              </a:ln>
              <a:effectLst/>
            </c:spPr>
            <c:extLst>
              <c:ext xmlns:c16="http://schemas.microsoft.com/office/drawing/2014/chart" uri="{C3380CC4-5D6E-409C-BE32-E72D297353CC}">
                <c16:uniqueId val="{0000000C-2E2E-44A2-84D0-FCAD7DD6CA70}"/>
              </c:ext>
            </c:extLst>
          </c:dPt>
          <c:dPt>
            <c:idx val="3"/>
            <c:bubble3D val="0"/>
            <c:spPr>
              <a:solidFill>
                <a:schemeClr val="accent4">
                  <a:lumMod val="20000"/>
                  <a:lumOff val="80000"/>
                </a:schemeClr>
              </a:solidFill>
              <a:ln w="19050">
                <a:noFill/>
              </a:ln>
              <a:effectLst/>
            </c:spPr>
            <c:extLst>
              <c:ext xmlns:c16="http://schemas.microsoft.com/office/drawing/2014/chart" uri="{C3380CC4-5D6E-409C-BE32-E72D297353CC}">
                <c16:uniqueId val="{0000000F-2E2E-44A2-84D0-FCAD7DD6CA70}"/>
              </c:ext>
            </c:extLst>
          </c:dPt>
          <c:dPt>
            <c:idx val="4"/>
            <c:bubble3D val="0"/>
            <c:spPr>
              <a:solidFill>
                <a:schemeClr val="accent4">
                  <a:lumMod val="40000"/>
                  <a:lumOff val="60000"/>
                </a:schemeClr>
              </a:solidFill>
              <a:ln w="19050">
                <a:noFill/>
              </a:ln>
              <a:effectLst/>
            </c:spPr>
            <c:extLst>
              <c:ext xmlns:c16="http://schemas.microsoft.com/office/drawing/2014/chart" uri="{C3380CC4-5D6E-409C-BE32-E72D297353CC}">
                <c16:uniqueId val="{0000000E-2E2E-44A2-84D0-FCAD7DD6CA70}"/>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'Sentiment vs. Priority'!$A$4:$A$9</c:f>
              <c:strCache>
                <c:ptCount val="5"/>
                <c:pt idx="0">
                  <c:v> Annoyed</c:v>
                </c:pt>
                <c:pt idx="1">
                  <c:v> Anxious</c:v>
                </c:pt>
                <c:pt idx="2">
                  <c:v> Confused</c:v>
                </c:pt>
                <c:pt idx="3">
                  <c:v> Frustrated</c:v>
                </c:pt>
                <c:pt idx="4">
                  <c:v> Urgent</c:v>
                </c:pt>
              </c:strCache>
            </c:strRef>
          </c:cat>
          <c:val>
            <c:numRef>
              <c:f>'Sentiment vs. Priority'!$B$4:$B$9</c:f>
              <c:numCache>
                <c:formatCode>0.00%</c:formatCode>
                <c:ptCount val="5"/>
                <c:pt idx="0">
                  <c:v>0.2</c:v>
                </c:pt>
                <c:pt idx="1">
                  <c:v>0.23333333333333334</c:v>
                </c:pt>
                <c:pt idx="2">
                  <c:v>0.23333333333333334</c:v>
                </c:pt>
                <c:pt idx="3">
                  <c:v>0.16666666666666666</c:v>
                </c:pt>
                <c:pt idx="4">
                  <c:v>0.16666666666666666</c:v>
                </c:pt>
              </c:numCache>
            </c:numRef>
          </c:val>
          <c:extLst>
            <c:ext xmlns:c16="http://schemas.microsoft.com/office/drawing/2014/chart" uri="{C3380CC4-5D6E-409C-BE32-E72D297353CC}">
              <c16:uniqueId val="{00000009-2E2E-44A2-84D0-FCAD7DD6CA7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558005249343828"/>
          <c:y val="0.57920858850976964"/>
          <c:w val="0.23326727909011374"/>
          <c:h val="0.3930136337124526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[Technologies Datasets NEW.xlsx]Spending vs. Issue Category!PivotTable1</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accent4">
                    <a:lumMod val="50000"/>
                  </a:schemeClr>
                </a:solidFill>
              </a:rPr>
              <a:t>Spending vs. Issue Category</a:t>
            </a:r>
          </a:p>
        </c:rich>
      </c:tx>
      <c:layout>
        <c:manualLayout>
          <c:xMode val="edge"/>
          <c:yMode val="edge"/>
          <c:x val="0.33952326901248581"/>
          <c:y val="1.286173633440514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20000"/>
              <a:lumOff val="80000"/>
            </a:schemeClr>
          </a:solidFill>
          <a:ln>
            <a:noFill/>
          </a:ln>
          <a:effectLst/>
        </c:spPr>
      </c:pivotFmt>
    </c:pivotFmts>
    <c:plotArea>
      <c:layout>
        <c:manualLayout>
          <c:layoutTarget val="inner"/>
          <c:xMode val="edge"/>
          <c:yMode val="edge"/>
          <c:x val="0.31234906646884802"/>
          <c:y val="0.13141588812652436"/>
          <c:w val="0.6556976234951335"/>
          <c:h val="0.815946190005992"/>
        </c:manualLayout>
      </c:layout>
      <c:barChart>
        <c:barDir val="bar"/>
        <c:grouping val="clustered"/>
        <c:varyColors val="0"/>
        <c:ser>
          <c:idx val="0"/>
          <c:order val="0"/>
          <c:tx>
            <c:strRef>
              <c:f>'Spending vs. Issue Category'!$B$3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CBA2-4AB7-9246-6C2C2D2100EE}"/>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2-CBA2-4AB7-9246-6C2C2D2100EE}"/>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CBA2-4AB7-9246-6C2C2D2100EE}"/>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4-CBA2-4AB7-9246-6C2C2D2100EE}"/>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5-CBA2-4AB7-9246-6C2C2D2100EE}"/>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'Spending vs. Issue Category'!$A$4:$A$9</c:f>
              <c:strCache>
                <c:ptCount val="5"/>
                <c:pt idx="0">
                  <c:v> Software Installation Failure</c:v>
                </c:pt>
                <c:pt idx="1">
                  <c:v> Account Synchronization Bug</c:v>
                </c:pt>
                <c:pt idx="2">
                  <c:v> Network Connectivity Issue</c:v>
                </c:pt>
                <c:pt idx="3">
                  <c:v> Payment Gateway Integration Failure</c:v>
                </c:pt>
                <c:pt idx="4">
                  <c:v> Device Compatibility Error</c:v>
                </c:pt>
              </c:strCache>
            </c:strRef>
          </c:cat>
          <c:val>
            <c:numRef>
              <c:f>'Spending vs. Issue Category'!$B$4:$B$9</c:f>
              <c:numCache>
                <c:formatCode>"$"#,##0.00</c:formatCode>
                <c:ptCount val="5"/>
                <c:pt idx="0">
                  <c:v>800</c:v>
                </c:pt>
                <c:pt idx="1">
                  <c:v>498</c:v>
                </c:pt>
                <c:pt idx="2">
                  <c:v>414</c:v>
                </c:pt>
                <c:pt idx="3">
                  <c:v>267</c:v>
                </c:pt>
                <c:pt idx="4">
                  <c:v>223</c:v>
                </c:pt>
              </c:numCache>
            </c:numRef>
          </c:val>
          <c:extLst>
            <c:ext xmlns:c16="http://schemas.microsoft.com/office/drawing/2014/chart" uri="{C3380CC4-5D6E-409C-BE32-E72D297353CC}">
              <c16:uniqueId val="{00000000-CBA2-4AB7-9246-6C2C2D2100EE}"/>
            </c:ext>
          </c:extLst>
        </c:ser>
        <c:dLbls>
          <c:dLblPos val="outEnd"/>
          <c:showLegendKey val="0"/>
          <c:showVal val="1"/>
          <c:showCatName val="0"/>
          <c:showSerName val="0"/>
          <c:showPercent val="0"/>
          <c:showBubbleSize val="0"/>
        </c:dLbls>
        <c:gapWidth val="70"/>
        <c:axId val="2087102448"/>
        <c:axId val="2091908944"/>
      </c:barChart>
      <c:catAx>
        <c:axId val="20871024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endParaRPr lang="en-US"/>
          </a:p>
        </c:txPr>
        <c:crossAx val="2091908944"/>
        <c:crosses val="autoZero"/>
        <c:auto val="1"/>
        <c:lblAlgn val="ctr"/>
        <c:lblOffset val="100"/>
        <c:noMultiLvlLbl val="0"/>
      </c:catAx>
      <c:valAx>
        <c:axId val="2091908944"/>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208710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[Technologies Datasets NEW.xlsx]Most Used Solutions!PivotTable1</c:name>
    <c:fmtId val="7"/>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accent4">
                    <a:lumMod val="50000"/>
                  </a:schemeClr>
                </a:solidFill>
              </a:rPr>
              <a:t>Most Used Solutions</a:t>
            </a:r>
          </a:p>
        </c:rich>
      </c:tx>
      <c:layout>
        <c:manualLayout>
          <c:xMode val="edge"/>
          <c:yMode val="edge"/>
          <c:x val="0.39400681044267882"/>
          <c:y val="8.5744908896034297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a:noFill/>
          </a:ln>
          <a:effectLst/>
        </c:spPr>
      </c:pivotFmt>
      <c:pivotFmt>
        <c:idx val="8"/>
        <c:spPr>
          <a:solidFill>
            <a:schemeClr val="accent4">
              <a:lumMod val="75000"/>
            </a:schemeClr>
          </a:solidFill>
          <a:ln>
            <a:noFill/>
          </a:ln>
          <a:effectLst/>
        </c:spPr>
      </c:pivotFmt>
      <c:pivotFmt>
        <c:idx val="9"/>
        <c:spPr>
          <a:solidFill>
            <a:schemeClr val="accent4">
              <a:lumMod val="60000"/>
              <a:lumOff val="40000"/>
            </a:schemeClr>
          </a:solidFill>
          <a:ln>
            <a:noFill/>
          </a:ln>
          <a:effectLst/>
        </c:spPr>
      </c:pivotFmt>
      <c:pivotFmt>
        <c:idx val="10"/>
        <c:spPr>
          <a:solidFill>
            <a:schemeClr val="accent4">
              <a:lumMod val="40000"/>
              <a:lumOff val="60000"/>
            </a:schemeClr>
          </a:solidFill>
          <a:ln>
            <a:noFill/>
          </a:ln>
          <a:effectLst/>
        </c:spPr>
      </c:pivotFmt>
      <c:pivotFmt>
        <c:idx val="11"/>
        <c:spPr>
          <a:solidFill>
            <a:schemeClr val="accent4">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50000"/>
            </a:schemeClr>
          </a:solidFill>
          <a:ln>
            <a:noFill/>
          </a:ln>
          <a:effectLst/>
        </c:spPr>
      </c:pivotFmt>
      <c:pivotFmt>
        <c:idx val="14"/>
        <c:spPr>
          <a:solidFill>
            <a:schemeClr val="accent4">
              <a:lumMod val="75000"/>
            </a:schemeClr>
          </a:solidFill>
          <a:ln>
            <a:noFill/>
          </a:ln>
          <a:effectLst/>
        </c:spPr>
      </c:pivotFmt>
      <c:pivotFmt>
        <c:idx val="15"/>
        <c:spPr>
          <a:solidFill>
            <a:schemeClr val="accent4">
              <a:lumMod val="60000"/>
              <a:lumOff val="40000"/>
            </a:schemeClr>
          </a:solidFill>
          <a:ln>
            <a:noFill/>
          </a:ln>
          <a:effectLst/>
        </c:spPr>
      </c:pivotFmt>
      <c:pivotFmt>
        <c:idx val="16"/>
        <c:spPr>
          <a:solidFill>
            <a:schemeClr val="accent4">
              <a:lumMod val="40000"/>
              <a:lumOff val="60000"/>
            </a:schemeClr>
          </a:solidFill>
          <a:ln>
            <a:noFill/>
          </a:ln>
          <a:effectLst/>
        </c:spPr>
      </c:pivotFmt>
    </c:pivotFmts>
    <c:plotArea>
      <c:layout>
        <c:manualLayout>
          <c:layoutTarget val="inner"/>
          <c:xMode val="edge"/>
          <c:yMode val="edge"/>
          <c:x val="0.31234906646884802"/>
          <c:y val="0.14427762446092951"/>
          <c:w val="0.6556976234951335"/>
          <c:h val="0.76021199922356975"/>
        </c:manualLayout>
      </c:layout>
      <c:barChart>
        <c:barDir val="bar"/>
        <c:grouping val="clustered"/>
        <c:varyColors val="0"/>
        <c:ser>
          <c:idx val="0"/>
          <c:order val="0"/>
          <c:tx>
            <c:strRef>
              <c:f>'Most Used Solutions'!$B$3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C-657E-4A2B-9E12-5B9FB688301A}"/>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D-657E-4A2B-9E12-5B9FB688301A}"/>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E-657E-4A2B-9E12-5B9FB688301A}"/>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F-657E-4A2B-9E12-5B9FB688301A}"/>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Used Solutions'!$A$4:$A$8</c:f>
              <c:strCache>
                <c:ptCount val="4"/>
                <c:pt idx="0">
                  <c:v> Clear app cache and relog</c:v>
                </c:pt>
                <c:pt idx="1">
                  <c:v> Force Full Sync on both devices</c:v>
                </c:pt>
                <c:pt idx="2">
                  <c:v> Reset sync token manually</c:v>
                </c:pt>
                <c:pt idx="3">
                  <c:v> Contact thermostat support for an update</c:v>
                </c:pt>
              </c:strCache>
            </c:strRef>
          </c:cat>
          <c:val>
            <c:numRef>
              <c:f>'Most Used Solutions'!$B$4:$B$8</c:f>
              <c:numCache>
                <c:formatCode>General</c:formatCode>
                <c:ptCount val="4"/>
                <c:pt idx="0">
                  <c:v>4</c:v>
                </c:pt>
                <c:pt idx="1">
                  <c:v>3</c:v>
                </c:pt>
                <c:pt idx="2">
                  <c:v>3</c:v>
                </c:pt>
                <c:pt idx="3">
                  <c:v>3</c:v>
                </c:pt>
              </c:numCache>
            </c:numRef>
          </c:val>
          <c:extLst>
            <c:ext xmlns:c16="http://schemas.microsoft.com/office/drawing/2014/chart" uri="{C3380CC4-5D6E-409C-BE32-E72D297353CC}">
              <c16:uniqueId val="{0000000B-657E-4A2B-9E12-5B9FB688301A}"/>
            </c:ext>
          </c:extLst>
        </c:ser>
        <c:dLbls>
          <c:dLblPos val="outEnd"/>
          <c:showLegendKey val="0"/>
          <c:showVal val="1"/>
          <c:showCatName val="0"/>
          <c:showSerName val="0"/>
          <c:showPercent val="0"/>
          <c:showBubbleSize val="0"/>
        </c:dLbls>
        <c:gapWidth val="70"/>
        <c:axId val="2087102448"/>
        <c:axId val="2091908944"/>
      </c:barChart>
      <c:catAx>
        <c:axId val="20871024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endParaRPr lang="en-US"/>
          </a:p>
        </c:txPr>
        <c:crossAx val="2091908944"/>
        <c:crosses val="autoZero"/>
        <c:auto val="1"/>
        <c:lblAlgn val="ctr"/>
        <c:lblOffset val="100"/>
        <c:noMultiLvlLbl val="0"/>
      </c:catAx>
      <c:valAx>
        <c:axId val="2091908944"/>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8710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[Technologies Datasets NEW.xlsx]Resolution Rate by Company!PivotTable1</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accent4">
                    <a:lumMod val="50000"/>
                  </a:schemeClr>
                </a:solidFill>
              </a:rPr>
              <a:t>Resolution Rate by Company</a:t>
            </a:r>
          </a:p>
        </c:rich>
      </c:tx>
      <c:layout>
        <c:manualLayout>
          <c:xMode val="edge"/>
          <c:yMode val="edge"/>
          <c:x val="0.25325256490679277"/>
          <c:y val="8.5743500982611749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a:noFill/>
          </a:ln>
          <a:effectLst/>
        </c:spPr>
      </c:pivotFmt>
      <c:pivotFmt>
        <c:idx val="8"/>
        <c:spPr>
          <a:solidFill>
            <a:schemeClr val="accent4">
              <a:lumMod val="75000"/>
            </a:schemeClr>
          </a:solidFill>
          <a:ln>
            <a:noFill/>
          </a:ln>
          <a:effectLst/>
        </c:spPr>
      </c:pivotFmt>
      <c:pivotFmt>
        <c:idx val="9"/>
        <c:spPr>
          <a:solidFill>
            <a:schemeClr val="accent4">
              <a:lumMod val="60000"/>
              <a:lumOff val="40000"/>
            </a:schemeClr>
          </a:solidFill>
          <a:ln>
            <a:noFill/>
          </a:ln>
          <a:effectLst/>
        </c:spPr>
      </c:pivotFmt>
      <c:pivotFmt>
        <c:idx val="10"/>
        <c:spPr>
          <a:solidFill>
            <a:schemeClr val="accent4">
              <a:lumMod val="40000"/>
              <a:lumOff val="60000"/>
            </a:schemeClr>
          </a:solidFill>
          <a:ln>
            <a:noFill/>
          </a:ln>
          <a:effectLst/>
        </c:spPr>
      </c:pivotFmt>
      <c:pivotFmt>
        <c:idx val="11"/>
        <c:spPr>
          <a:solidFill>
            <a:schemeClr val="accent4">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50000"/>
            </a:schemeClr>
          </a:solidFill>
          <a:ln>
            <a:noFill/>
          </a:ln>
          <a:effectLst/>
        </c:spPr>
      </c:pivotFmt>
      <c:pivotFmt>
        <c:idx val="14"/>
        <c:spPr>
          <a:solidFill>
            <a:schemeClr val="accent4">
              <a:lumMod val="75000"/>
            </a:schemeClr>
          </a:solidFill>
          <a:ln>
            <a:noFill/>
          </a:ln>
          <a:effectLst/>
        </c:spPr>
      </c:pivotFmt>
      <c:pivotFmt>
        <c:idx val="15"/>
        <c:spPr>
          <a:solidFill>
            <a:schemeClr val="accent4">
              <a:lumMod val="60000"/>
              <a:lumOff val="40000"/>
            </a:schemeClr>
          </a:solidFill>
          <a:ln>
            <a:noFill/>
          </a:ln>
          <a:effectLst/>
        </c:spPr>
      </c:pivotFmt>
      <c:pivotFmt>
        <c:idx val="16"/>
        <c:spPr>
          <a:solidFill>
            <a:schemeClr val="accent4">
              <a:lumMod val="40000"/>
              <a:lumOff val="6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50000"/>
            </a:schemeClr>
          </a:solidFill>
          <a:ln>
            <a:noFill/>
          </a:ln>
          <a:effectLst/>
        </c:spPr>
      </c:pivotFmt>
      <c:pivotFmt>
        <c:idx val="19"/>
        <c:spPr>
          <a:solidFill>
            <a:schemeClr val="accent4">
              <a:lumMod val="75000"/>
            </a:schemeClr>
          </a:solidFill>
          <a:ln>
            <a:noFill/>
          </a:ln>
          <a:effectLst/>
        </c:spPr>
      </c:pivotFmt>
      <c:pivotFmt>
        <c:idx val="20"/>
        <c:spPr>
          <a:solidFill>
            <a:schemeClr val="accent4">
              <a:lumMod val="60000"/>
              <a:lumOff val="40000"/>
            </a:schemeClr>
          </a:solidFill>
          <a:ln>
            <a:noFill/>
          </a:ln>
          <a:effectLst/>
        </c:spPr>
      </c:pivotFmt>
      <c:pivotFmt>
        <c:idx val="21"/>
        <c:spPr>
          <a:solidFill>
            <a:schemeClr val="accent4">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50000"/>
            </a:schemeClr>
          </a:solidFill>
          <a:ln>
            <a:noFill/>
          </a:ln>
          <a:effectLst/>
        </c:spPr>
      </c:pivotFmt>
      <c:pivotFmt>
        <c:idx val="24"/>
        <c:spPr>
          <a:solidFill>
            <a:schemeClr val="accent4">
              <a:lumMod val="75000"/>
            </a:schemeClr>
          </a:solidFill>
          <a:ln>
            <a:noFill/>
          </a:ln>
          <a:effectLst/>
        </c:spPr>
      </c:pivotFmt>
      <c:pivotFmt>
        <c:idx val="25"/>
        <c:spPr>
          <a:solidFill>
            <a:schemeClr val="accent4">
              <a:lumMod val="60000"/>
              <a:lumOff val="4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50000"/>
            </a:schemeClr>
          </a:solidFill>
          <a:ln>
            <a:noFill/>
          </a:ln>
          <a:effectLst/>
        </c:spPr>
      </c:pivotFmt>
      <c:pivotFmt>
        <c:idx val="28"/>
        <c:spPr>
          <a:solidFill>
            <a:schemeClr val="accent4">
              <a:lumMod val="75000"/>
            </a:schemeClr>
          </a:solidFill>
          <a:ln>
            <a:noFill/>
          </a:ln>
          <a:effectLst/>
        </c:spPr>
      </c:pivotFmt>
      <c:pivotFmt>
        <c:idx val="29"/>
        <c:spPr>
          <a:solidFill>
            <a:schemeClr val="accent4">
              <a:lumMod val="60000"/>
              <a:lumOff val="40000"/>
            </a:schemeClr>
          </a:solidFill>
          <a:ln>
            <a:noFill/>
          </a:ln>
          <a:effectLst/>
        </c:spPr>
      </c:pivotFmt>
    </c:pivotFmts>
    <c:plotArea>
      <c:layout>
        <c:manualLayout>
          <c:layoutTarget val="inner"/>
          <c:xMode val="edge"/>
          <c:yMode val="edge"/>
          <c:x val="5.2758343219734563E-2"/>
          <c:y val="0.14878385328280319"/>
          <c:w val="0.8870761749078746"/>
          <c:h val="0.54874709691379886"/>
        </c:manualLayout>
      </c:layout>
      <c:barChart>
        <c:barDir val="col"/>
        <c:grouping val="clustered"/>
        <c:varyColors val="0"/>
        <c:ser>
          <c:idx val="0"/>
          <c:order val="0"/>
          <c:tx>
            <c:strRef>
              <c:f>'Resolution Rate by Company'!$B$3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7-2A1C-4D80-8D7D-BD4A4F70224D}"/>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8-2A1C-4D80-8D7D-BD4A4F70224D}"/>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9-2A1C-4D80-8D7D-BD4A4F70224D}"/>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'Resolution Rate by Company'!$A$4:$A$10</c:f>
              <c:multiLvlStrCache>
                <c:ptCount val="3"/>
                <c:lvl>
                  <c:pt idx="0">
                    <c:v> Resolved</c:v>
                  </c:pt>
                  <c:pt idx="1">
                    <c:v> Resolved</c:v>
                  </c:pt>
                  <c:pt idx="2">
                    <c:v> Resolved</c:v>
                  </c:pt>
                </c:lvl>
                <c:lvl>
                  <c:pt idx="0">
                    <c:v>Foufani Technologies </c:v>
                  </c:pt>
                  <c:pt idx="1">
                    <c:v>Hisense Tech</c:v>
                  </c:pt>
                  <c:pt idx="2">
                    <c:v>Atech Programs</c:v>
                  </c:pt>
                </c:lvl>
              </c:multiLvlStrCache>
            </c:multiLvlStrRef>
          </c:cat>
          <c:val>
            <c:numRef>
              <c:f>'Resolution Rate by Company'!$B$4:$B$10</c:f>
              <c:numCache>
                <c:formatCode>General</c:formatCode>
                <c:ptCount val="3"/>
                <c:pt idx="0">
                  <c:v>13</c:v>
                </c:pt>
                <c:pt idx="1">
                  <c:v>10</c:v>
                </c:pt>
                <c:pt idx="2">
                  <c:v>7</c:v>
                </c:pt>
              </c:numCache>
            </c:numRef>
          </c:val>
          <c:extLst>
            <c:ext xmlns:c16="http://schemas.microsoft.com/office/drawing/2014/chart" uri="{C3380CC4-5D6E-409C-BE32-E72D297353CC}">
              <c16:uniqueId val="{00000006-2A1C-4D80-8D7D-BD4A4F70224D}"/>
            </c:ext>
          </c:extLst>
        </c:ser>
        <c:dLbls>
          <c:dLblPos val="outEnd"/>
          <c:showLegendKey val="0"/>
          <c:showVal val="1"/>
          <c:showCatName val="0"/>
          <c:showSerName val="0"/>
          <c:showPercent val="0"/>
          <c:showBubbleSize val="0"/>
        </c:dLbls>
        <c:gapWidth val="140"/>
        <c:axId val="2087102448"/>
        <c:axId val="2091908944"/>
      </c:barChart>
      <c:catAx>
        <c:axId val="208710244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accent4">
                    <a:lumMod val="50000"/>
                  </a:schemeClr>
                </a:solidFill>
                <a:latin typeface="+mn-lt"/>
                <a:ea typeface="+mn-ea"/>
                <a:cs typeface="+mn-cs"/>
              </a:defRPr>
            </a:pPr>
            <a:endParaRPr lang="en-US"/>
          </a:p>
        </c:txPr>
        <c:crossAx val="2091908944"/>
        <c:crosses val="autoZero"/>
        <c:auto val="1"/>
        <c:lblAlgn val="ctr"/>
        <c:lblOffset val="100"/>
        <c:noMultiLvlLbl val="0"/>
      </c:catAx>
      <c:valAx>
        <c:axId val="2091908944"/>
        <c:scaling>
          <c:orientation val="minMax"/>
        </c:scaling>
        <c:delete val="1"/>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8710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[Technologies Datasets NEW.xlsx]Most Used Solutions!PivotTable1</c:name>
    <c:fmtId val="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accent4">
                    <a:lumMod val="50000"/>
                  </a:schemeClr>
                </a:solidFill>
              </a:rPr>
              <a:t>Most Used Solutions</a:t>
            </a:r>
          </a:p>
        </c:rich>
      </c:tx>
      <c:layout>
        <c:manualLayout>
          <c:xMode val="edge"/>
          <c:yMode val="edge"/>
          <c:x val="0.39400681044267882"/>
          <c:y val="8.5744908896034297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a:noFill/>
          </a:ln>
          <a:effectLst/>
        </c:spPr>
      </c:pivotFmt>
      <c:pivotFmt>
        <c:idx val="8"/>
        <c:spPr>
          <a:solidFill>
            <a:schemeClr val="accent4">
              <a:lumMod val="75000"/>
            </a:schemeClr>
          </a:solidFill>
          <a:ln>
            <a:noFill/>
          </a:ln>
          <a:effectLst/>
        </c:spPr>
      </c:pivotFmt>
      <c:pivotFmt>
        <c:idx val="9"/>
        <c:spPr>
          <a:solidFill>
            <a:schemeClr val="accent4">
              <a:lumMod val="60000"/>
              <a:lumOff val="40000"/>
            </a:schemeClr>
          </a:solidFill>
          <a:ln>
            <a:noFill/>
          </a:ln>
          <a:effectLst/>
        </c:spPr>
      </c:pivotFmt>
      <c:pivotFmt>
        <c:idx val="10"/>
        <c:spPr>
          <a:solidFill>
            <a:schemeClr val="accent4">
              <a:lumMod val="40000"/>
              <a:lumOff val="60000"/>
            </a:schemeClr>
          </a:solidFill>
          <a:ln>
            <a:noFill/>
          </a:ln>
          <a:effectLst/>
        </c:spPr>
      </c:pivotFmt>
      <c:pivotFmt>
        <c:idx val="11"/>
        <c:spPr>
          <a:solidFill>
            <a:schemeClr val="accent4">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50000"/>
            </a:schemeClr>
          </a:solidFill>
          <a:ln>
            <a:noFill/>
          </a:ln>
          <a:effectLst/>
        </c:spPr>
      </c:pivotFmt>
      <c:pivotFmt>
        <c:idx val="14"/>
        <c:spPr>
          <a:solidFill>
            <a:schemeClr val="accent4">
              <a:lumMod val="75000"/>
            </a:schemeClr>
          </a:solidFill>
          <a:ln>
            <a:noFill/>
          </a:ln>
          <a:effectLst/>
        </c:spPr>
      </c:pivotFmt>
      <c:pivotFmt>
        <c:idx val="15"/>
        <c:spPr>
          <a:solidFill>
            <a:schemeClr val="accent4">
              <a:lumMod val="60000"/>
              <a:lumOff val="40000"/>
            </a:schemeClr>
          </a:solidFill>
          <a:ln>
            <a:noFill/>
          </a:ln>
          <a:effectLst/>
        </c:spPr>
      </c:pivotFmt>
      <c:pivotFmt>
        <c:idx val="16"/>
        <c:spPr>
          <a:solidFill>
            <a:schemeClr val="accent4">
              <a:lumMod val="40000"/>
              <a:lumOff val="6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50000"/>
            </a:schemeClr>
          </a:solidFill>
          <a:ln>
            <a:noFill/>
          </a:ln>
          <a:effectLst/>
        </c:spPr>
      </c:pivotFmt>
      <c:pivotFmt>
        <c:idx val="19"/>
        <c:spPr>
          <a:solidFill>
            <a:schemeClr val="accent4">
              <a:lumMod val="75000"/>
            </a:schemeClr>
          </a:solidFill>
          <a:ln>
            <a:noFill/>
          </a:ln>
          <a:effectLst/>
        </c:spPr>
      </c:pivotFmt>
      <c:pivotFmt>
        <c:idx val="20"/>
        <c:spPr>
          <a:solidFill>
            <a:schemeClr val="accent4">
              <a:lumMod val="60000"/>
              <a:lumOff val="40000"/>
            </a:schemeClr>
          </a:solidFill>
          <a:ln>
            <a:noFill/>
          </a:ln>
          <a:effectLst/>
        </c:spPr>
      </c:pivotFmt>
      <c:pivotFmt>
        <c:idx val="21"/>
        <c:spPr>
          <a:solidFill>
            <a:schemeClr val="accent4">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50000"/>
            </a:schemeClr>
          </a:solidFill>
          <a:ln>
            <a:noFill/>
          </a:ln>
          <a:effectLst/>
        </c:spPr>
      </c:pivotFmt>
      <c:pivotFmt>
        <c:idx val="24"/>
        <c:spPr>
          <a:solidFill>
            <a:schemeClr val="accent4">
              <a:lumMod val="75000"/>
            </a:schemeClr>
          </a:solidFill>
          <a:ln>
            <a:noFill/>
          </a:ln>
          <a:effectLst/>
        </c:spPr>
      </c:pivotFmt>
      <c:pivotFmt>
        <c:idx val="25"/>
        <c:spPr>
          <a:solidFill>
            <a:schemeClr val="accent4">
              <a:lumMod val="60000"/>
              <a:lumOff val="40000"/>
            </a:schemeClr>
          </a:solidFill>
          <a:ln>
            <a:noFill/>
          </a:ln>
          <a:effectLst/>
        </c:spPr>
      </c:pivotFmt>
      <c:pivotFmt>
        <c:idx val="26"/>
        <c:spPr>
          <a:solidFill>
            <a:schemeClr val="accent4">
              <a:lumMod val="40000"/>
              <a:lumOff val="60000"/>
            </a:schemeClr>
          </a:solidFill>
          <a:ln>
            <a:noFill/>
          </a:ln>
          <a:effectLst/>
        </c:spPr>
      </c:pivotFmt>
    </c:pivotFmts>
    <c:plotArea>
      <c:layout>
        <c:manualLayout>
          <c:layoutTarget val="inner"/>
          <c:xMode val="edge"/>
          <c:yMode val="edge"/>
          <c:x val="0.42231465799256035"/>
          <c:y val="0.16919951470575967"/>
          <c:w val="0.57150969532333884"/>
          <c:h val="0.70848777785873029"/>
        </c:manualLayout>
      </c:layout>
      <c:barChart>
        <c:barDir val="bar"/>
        <c:grouping val="clustered"/>
        <c:varyColors val="0"/>
        <c:ser>
          <c:idx val="0"/>
          <c:order val="0"/>
          <c:tx>
            <c:strRef>
              <c:f>'Most Used Solutions'!$B$3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63A6-45A1-8C0D-0EE523C9E86E}"/>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63A6-45A1-8C0D-0EE523C9E86E}"/>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63A6-45A1-8C0D-0EE523C9E86E}"/>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7-63A6-45A1-8C0D-0EE523C9E86E}"/>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Used Solutions'!$A$4:$A$8</c:f>
              <c:strCache>
                <c:ptCount val="4"/>
                <c:pt idx="0">
                  <c:v> Clear app cache and relog</c:v>
                </c:pt>
                <c:pt idx="1">
                  <c:v> Force Full Sync on both devices</c:v>
                </c:pt>
                <c:pt idx="2">
                  <c:v> Reset sync token manually</c:v>
                </c:pt>
                <c:pt idx="3">
                  <c:v> Contact thermostat support for an update</c:v>
                </c:pt>
              </c:strCache>
            </c:strRef>
          </c:cat>
          <c:val>
            <c:numRef>
              <c:f>'Most Used Solutions'!$B$4:$B$8</c:f>
              <c:numCache>
                <c:formatCode>General</c:formatCode>
                <c:ptCount val="4"/>
                <c:pt idx="0">
                  <c:v>4</c:v>
                </c:pt>
                <c:pt idx="1">
                  <c:v>3</c:v>
                </c:pt>
                <c:pt idx="2">
                  <c:v>3</c:v>
                </c:pt>
                <c:pt idx="3">
                  <c:v>3</c:v>
                </c:pt>
              </c:numCache>
            </c:numRef>
          </c:val>
          <c:extLst>
            <c:ext xmlns:c16="http://schemas.microsoft.com/office/drawing/2014/chart" uri="{C3380CC4-5D6E-409C-BE32-E72D297353CC}">
              <c16:uniqueId val="{00000008-63A6-45A1-8C0D-0EE523C9E86E}"/>
            </c:ext>
          </c:extLst>
        </c:ser>
        <c:dLbls>
          <c:dLblPos val="outEnd"/>
          <c:showLegendKey val="0"/>
          <c:showVal val="1"/>
          <c:showCatName val="0"/>
          <c:showSerName val="0"/>
          <c:showPercent val="0"/>
          <c:showBubbleSize val="0"/>
        </c:dLbls>
        <c:gapWidth val="70"/>
        <c:axId val="2087102448"/>
        <c:axId val="2091908944"/>
      </c:barChart>
      <c:catAx>
        <c:axId val="20871024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4">
                    <a:lumMod val="50000"/>
                  </a:schemeClr>
                </a:solidFill>
                <a:latin typeface="+mn-lt"/>
                <a:ea typeface="+mn-ea"/>
                <a:cs typeface="+mn-cs"/>
              </a:defRPr>
            </a:pPr>
            <a:endParaRPr lang="en-US"/>
          </a:p>
        </c:txPr>
        <c:crossAx val="2091908944"/>
        <c:crosses val="autoZero"/>
        <c:auto val="1"/>
        <c:lblAlgn val="ctr"/>
        <c:lblOffset val="100"/>
        <c:noMultiLvlLbl val="0"/>
      </c:catAx>
      <c:valAx>
        <c:axId val="2091908944"/>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8710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[Technologies Datasets NEW.xlsx]Top Companies by Ticket Volume!PivotTable1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4">
                    <a:lumMod val="50000"/>
                  </a:schemeClr>
                </a:solidFill>
              </a:rPr>
              <a:t>Top Companies by Ticket Volume</a:t>
            </a:r>
          </a:p>
        </c:rich>
      </c:tx>
      <c:layout>
        <c:manualLayout>
          <c:xMode val="edge"/>
          <c:yMode val="edge"/>
          <c:x val="0.23617634485706804"/>
          <c:y val="3.75586854460093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a:noFill/>
          </a:ln>
          <a:effectLst/>
        </c:spPr>
      </c:pivotFmt>
      <c:pivotFmt>
        <c:idx val="6"/>
        <c:spPr>
          <a:solidFill>
            <a:schemeClr val="accent4">
              <a:lumMod val="75000"/>
            </a:schemeClr>
          </a:solidFill>
          <a:ln>
            <a:noFill/>
          </a:ln>
          <a:effectLst/>
        </c:spPr>
      </c:pivotFmt>
      <c:pivotFmt>
        <c:idx val="7"/>
        <c:spPr>
          <a:solidFill>
            <a:schemeClr val="accent4">
              <a:lumMod val="60000"/>
              <a:lumOff val="4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50000"/>
            </a:schemeClr>
          </a:solidFill>
          <a:ln>
            <a:noFill/>
          </a:ln>
          <a:effectLst/>
        </c:spPr>
      </c:pivotFmt>
      <c:pivotFmt>
        <c:idx val="10"/>
        <c:spPr>
          <a:solidFill>
            <a:schemeClr val="accent4">
              <a:lumMod val="75000"/>
            </a:schemeClr>
          </a:solidFill>
          <a:ln>
            <a:noFill/>
          </a:ln>
          <a:effectLst/>
        </c:spPr>
      </c:pivotFmt>
      <c:pivotFmt>
        <c:idx val="11"/>
        <c:spPr>
          <a:solidFill>
            <a:schemeClr val="accent4">
              <a:lumMod val="60000"/>
              <a:lumOff val="40000"/>
            </a:schemeClr>
          </a:solidFill>
          <a:ln>
            <a:noFill/>
          </a:ln>
          <a:effectLst/>
        </c:spPr>
      </c:pivotFmt>
    </c:pivotFmts>
    <c:plotArea>
      <c:layout/>
      <c:barChart>
        <c:barDir val="col"/>
        <c:grouping val="clustered"/>
        <c:varyColors val="0"/>
        <c:ser>
          <c:idx val="0"/>
          <c:order val="0"/>
          <c:tx>
            <c:strRef>
              <c:f>'Top Companies by Ticket Volume'!$B$3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D9BF-4738-8663-4536BDD8DE33}"/>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D9BF-4738-8663-4536BDD8DE33}"/>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D9BF-4738-8663-4536BDD8DE33}"/>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Companies by Ticket Volume'!$A$4:$A$7</c:f>
              <c:strCache>
                <c:ptCount val="3"/>
                <c:pt idx="0">
                  <c:v>Foufani Technologies </c:v>
                </c:pt>
                <c:pt idx="1">
                  <c:v>Hisense Tech</c:v>
                </c:pt>
                <c:pt idx="2">
                  <c:v>Atech Programs</c:v>
                </c:pt>
              </c:strCache>
            </c:strRef>
          </c:cat>
          <c:val>
            <c:numRef>
              <c:f>'Top Companies by Ticket Volume'!$B$4:$B$7</c:f>
              <c:numCache>
                <c:formatCode>General</c:formatCode>
                <c:ptCount val="3"/>
                <c:pt idx="0">
                  <c:v>13</c:v>
                </c:pt>
                <c:pt idx="1">
                  <c:v>10</c:v>
                </c:pt>
                <c:pt idx="2">
                  <c:v>7</c:v>
                </c:pt>
              </c:numCache>
            </c:numRef>
          </c:val>
          <c:extLst>
            <c:ext xmlns:c16="http://schemas.microsoft.com/office/drawing/2014/chart" uri="{C3380CC4-5D6E-409C-BE32-E72D297353CC}">
              <c16:uniqueId val="{00000006-D9BF-4738-8663-4536BDD8DE33}"/>
            </c:ext>
          </c:extLst>
        </c:ser>
        <c:dLbls>
          <c:dLblPos val="outEnd"/>
          <c:showLegendKey val="0"/>
          <c:showVal val="1"/>
          <c:showCatName val="0"/>
          <c:showSerName val="0"/>
          <c:showPercent val="0"/>
          <c:showBubbleSize val="0"/>
        </c:dLbls>
        <c:gapWidth val="219"/>
        <c:overlap val="-27"/>
        <c:axId val="272982832"/>
        <c:axId val="364896512"/>
      </c:barChart>
      <c:catAx>
        <c:axId val="27298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4">
                    <a:lumMod val="50000"/>
                  </a:schemeClr>
                </a:solidFill>
                <a:latin typeface="+mn-lt"/>
                <a:ea typeface="+mn-ea"/>
                <a:cs typeface="+mn-cs"/>
              </a:defRPr>
            </a:pPr>
            <a:endParaRPr lang="en-US"/>
          </a:p>
        </c:txPr>
        <c:crossAx val="364896512"/>
        <c:crosses val="autoZero"/>
        <c:auto val="1"/>
        <c:lblAlgn val="ctr"/>
        <c:lblOffset val="100"/>
        <c:noMultiLvlLbl val="0"/>
      </c:catAx>
      <c:valAx>
        <c:axId val="3648965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7298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[Technologies Datasets NEW.xlsx]Sentiment vs. Priority!PivotTable1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4">
                    <a:lumMod val="50000"/>
                  </a:schemeClr>
                </a:solidFill>
              </a:rPr>
              <a:t>Sentiment vs. Priority</a:t>
            </a:r>
          </a:p>
        </c:rich>
      </c:tx>
      <c:layout>
        <c:manualLayout>
          <c:xMode val="edge"/>
          <c:yMode val="edge"/>
          <c:x val="0.16294898944093292"/>
          <c:y val="2.66666786823375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noFill/>
          </a:ln>
          <a:effectLst/>
        </c:spPr>
      </c:pivotFmt>
      <c:pivotFmt>
        <c:idx val="2"/>
        <c:spPr>
          <a:solidFill>
            <a:schemeClr val="accent4">
              <a:lumMod val="75000"/>
            </a:schemeClr>
          </a:solidFill>
          <a:ln w="19050">
            <a:noFill/>
          </a:ln>
          <a:effectLst/>
        </c:spPr>
      </c:pivotFmt>
      <c:pivotFmt>
        <c:idx val="3"/>
        <c:spPr>
          <a:solidFill>
            <a:schemeClr val="accent4">
              <a:lumMod val="60000"/>
              <a:lumOff val="40000"/>
            </a:schemeClr>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w="19050">
            <a:noFill/>
          </a:ln>
          <a:effectLst/>
        </c:spPr>
      </c:pivotFmt>
      <c:pivotFmt>
        <c:idx val="6"/>
        <c:spPr>
          <a:solidFill>
            <a:schemeClr val="accent4">
              <a:lumMod val="75000"/>
            </a:schemeClr>
          </a:solidFill>
          <a:ln w="19050">
            <a:noFill/>
          </a:ln>
          <a:effectLst/>
        </c:spPr>
      </c:pivotFmt>
      <c:pivotFmt>
        <c:idx val="7"/>
        <c:spPr>
          <a:solidFill>
            <a:schemeClr val="accent4">
              <a:lumMod val="60000"/>
              <a:lumOff val="40000"/>
            </a:schemeClr>
          </a:solidFill>
          <a:ln w="19050">
            <a:no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w="19050">
            <a:noFill/>
          </a:ln>
          <a:effectLst/>
        </c:spPr>
      </c:pivotFmt>
      <c:pivotFmt>
        <c:idx val="13"/>
        <c:spPr>
          <a:solidFill>
            <a:schemeClr val="accent4">
              <a:lumMod val="50000"/>
            </a:schemeClr>
          </a:solidFill>
          <a:ln w="19050">
            <a:noFill/>
          </a:ln>
          <a:effectLst/>
        </c:spPr>
      </c:pivotFmt>
      <c:pivotFmt>
        <c:idx val="14"/>
        <c:spPr>
          <a:solidFill>
            <a:schemeClr val="accent4">
              <a:lumMod val="60000"/>
              <a:lumOff val="40000"/>
            </a:schemeClr>
          </a:solidFill>
          <a:ln w="19050">
            <a:noFill/>
          </a:ln>
          <a:effectLst/>
        </c:spPr>
      </c:pivotFmt>
      <c:pivotFmt>
        <c:idx val="15"/>
        <c:spPr>
          <a:solidFill>
            <a:schemeClr val="accent4">
              <a:lumMod val="40000"/>
              <a:lumOff val="60000"/>
            </a:schemeClr>
          </a:solidFill>
          <a:ln w="19050">
            <a:noFill/>
          </a:ln>
          <a:effectLst/>
        </c:spPr>
      </c:pivotFmt>
      <c:pivotFmt>
        <c:idx val="16"/>
        <c:spPr>
          <a:solidFill>
            <a:schemeClr val="accent4">
              <a:lumMod val="20000"/>
              <a:lumOff val="80000"/>
            </a:schemeClr>
          </a:solidFill>
          <a:ln w="19050">
            <a:no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60000"/>
              <a:lumOff val="40000"/>
            </a:schemeClr>
          </a:solidFill>
          <a:ln w="19050">
            <a:noFill/>
          </a:ln>
          <a:effectLst/>
        </c:spPr>
      </c:pivotFmt>
      <c:pivotFmt>
        <c:idx val="19"/>
        <c:spPr>
          <a:solidFill>
            <a:schemeClr val="accent4">
              <a:lumMod val="75000"/>
            </a:schemeClr>
          </a:solidFill>
          <a:ln w="19050">
            <a:noFill/>
          </a:ln>
          <a:effectLst/>
        </c:spPr>
      </c:pivotFmt>
      <c:pivotFmt>
        <c:idx val="20"/>
        <c:spPr>
          <a:solidFill>
            <a:schemeClr val="accent4">
              <a:lumMod val="50000"/>
            </a:schemeClr>
          </a:solidFill>
          <a:ln w="19050">
            <a:noFill/>
          </a:ln>
          <a:effectLst/>
        </c:spPr>
      </c:pivotFmt>
      <c:pivotFmt>
        <c:idx val="21"/>
        <c:spPr>
          <a:solidFill>
            <a:schemeClr val="accent4">
              <a:lumMod val="20000"/>
              <a:lumOff val="80000"/>
            </a:schemeClr>
          </a:solidFill>
          <a:ln w="19050">
            <a:noFill/>
          </a:ln>
          <a:effectLst/>
        </c:spPr>
      </c:pivotFmt>
      <c:pivotFmt>
        <c:idx val="22"/>
        <c:spPr>
          <a:solidFill>
            <a:schemeClr val="accent4">
              <a:lumMod val="40000"/>
              <a:lumOff val="60000"/>
            </a:schemeClr>
          </a:solidFill>
          <a:ln w="19050">
            <a:no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lumMod val="60000"/>
              <a:lumOff val="40000"/>
            </a:schemeClr>
          </a:solidFill>
          <a:ln w="19050">
            <a:noFill/>
          </a:ln>
          <a:effectLst/>
        </c:spPr>
      </c:pivotFmt>
      <c:pivotFmt>
        <c:idx val="25"/>
        <c:spPr>
          <a:solidFill>
            <a:schemeClr val="accent4">
              <a:lumMod val="75000"/>
            </a:schemeClr>
          </a:solidFill>
          <a:ln w="19050">
            <a:noFill/>
          </a:ln>
          <a:effectLst/>
        </c:spPr>
      </c:pivotFmt>
      <c:pivotFmt>
        <c:idx val="26"/>
        <c:spPr>
          <a:solidFill>
            <a:schemeClr val="accent4">
              <a:lumMod val="50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US"/>
            </a:p>
          </c:txPr>
        </c:dLbl>
      </c:pivotFmt>
      <c:pivotFmt>
        <c:idx val="27"/>
        <c:spPr>
          <a:solidFill>
            <a:schemeClr val="accent4">
              <a:lumMod val="20000"/>
              <a:lumOff val="80000"/>
            </a:schemeClr>
          </a:solidFill>
          <a:ln w="19050">
            <a:noFill/>
          </a:ln>
          <a:effectLst/>
        </c:spPr>
      </c:pivotFmt>
      <c:pivotFmt>
        <c:idx val="28"/>
        <c:spPr>
          <a:solidFill>
            <a:schemeClr val="accent4">
              <a:lumMod val="40000"/>
              <a:lumOff val="60000"/>
            </a:schemeClr>
          </a:solidFill>
          <a:ln w="19050">
            <a:noFill/>
          </a:ln>
          <a:effectLst/>
        </c:spPr>
      </c:pivotFmt>
    </c:pivotFmts>
    <c:plotArea>
      <c:layout>
        <c:manualLayout>
          <c:layoutTarget val="inner"/>
          <c:xMode val="edge"/>
          <c:yMode val="edge"/>
          <c:x val="0.15657938295043983"/>
          <c:y val="0.18766480243533618"/>
          <c:w val="0.47449623761739335"/>
          <c:h val="0.70461726183288242"/>
        </c:manualLayout>
      </c:layout>
      <c:doughnutChart>
        <c:varyColors val="1"/>
        <c:ser>
          <c:idx val="0"/>
          <c:order val="0"/>
          <c:tx>
            <c:strRef>
              <c:f>'Sentiment vs. Priority'!$B$3</c:f>
              <c:strCache>
                <c:ptCount val="1"/>
                <c:pt idx="0">
                  <c:v>Total</c:v>
                </c:pt>
              </c:strCache>
            </c:strRef>
          </c:tx>
          <c:dPt>
            <c:idx val="0"/>
            <c:bubble3D val="0"/>
            <c:spPr>
              <a:solidFill>
                <a:schemeClr val="accent4">
                  <a:lumMod val="60000"/>
                  <a:lumOff val="40000"/>
                </a:schemeClr>
              </a:solidFill>
              <a:ln w="19050">
                <a:noFill/>
              </a:ln>
              <a:effectLst/>
            </c:spPr>
            <c:extLst>
              <c:ext xmlns:c16="http://schemas.microsoft.com/office/drawing/2014/chart" uri="{C3380CC4-5D6E-409C-BE32-E72D297353CC}">
                <c16:uniqueId val="{00000001-17F9-4DE7-8F98-5C17C8BC60C2}"/>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17F9-4DE7-8F98-5C17C8BC60C2}"/>
              </c:ext>
            </c:extLst>
          </c:dPt>
          <c:dPt>
            <c:idx val="2"/>
            <c:bubble3D val="0"/>
            <c:spPr>
              <a:solidFill>
                <a:schemeClr val="accent4">
                  <a:lumMod val="50000"/>
                </a:schemeClr>
              </a:solidFill>
              <a:ln w="19050">
                <a:noFill/>
              </a:ln>
              <a:effectLst/>
            </c:spPr>
            <c:extLst>
              <c:ext xmlns:c16="http://schemas.microsoft.com/office/drawing/2014/chart" uri="{C3380CC4-5D6E-409C-BE32-E72D297353CC}">
                <c16:uniqueId val="{00000005-17F9-4DE7-8F98-5C17C8BC60C2}"/>
              </c:ext>
            </c:extLst>
          </c:dPt>
          <c:dPt>
            <c:idx val="3"/>
            <c:bubble3D val="0"/>
            <c:spPr>
              <a:solidFill>
                <a:schemeClr val="accent4">
                  <a:lumMod val="20000"/>
                  <a:lumOff val="80000"/>
                </a:schemeClr>
              </a:solidFill>
              <a:ln w="19050">
                <a:noFill/>
              </a:ln>
              <a:effectLst/>
            </c:spPr>
            <c:extLst>
              <c:ext xmlns:c16="http://schemas.microsoft.com/office/drawing/2014/chart" uri="{C3380CC4-5D6E-409C-BE32-E72D297353CC}">
                <c16:uniqueId val="{00000007-17F9-4DE7-8F98-5C17C8BC60C2}"/>
              </c:ext>
            </c:extLst>
          </c:dPt>
          <c:dPt>
            <c:idx val="4"/>
            <c:bubble3D val="0"/>
            <c:spPr>
              <a:solidFill>
                <a:schemeClr val="accent4">
                  <a:lumMod val="40000"/>
                  <a:lumOff val="60000"/>
                </a:schemeClr>
              </a:solidFill>
              <a:ln w="19050">
                <a:noFill/>
              </a:ln>
              <a:effectLst/>
            </c:spPr>
            <c:extLst>
              <c:ext xmlns:c16="http://schemas.microsoft.com/office/drawing/2014/chart" uri="{C3380CC4-5D6E-409C-BE32-E72D297353CC}">
                <c16:uniqueId val="{00000009-17F9-4DE7-8F98-5C17C8BC60C2}"/>
              </c:ext>
            </c:extLst>
          </c:dPt>
          <c:dLbls>
            <c:dLbl>
              <c:idx val="2"/>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17F9-4DE7-8F98-5C17C8BC60C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'Sentiment vs. Priority'!$A$4:$A$9</c:f>
              <c:strCache>
                <c:ptCount val="5"/>
                <c:pt idx="0">
                  <c:v> Annoyed</c:v>
                </c:pt>
                <c:pt idx="1">
                  <c:v> Anxious</c:v>
                </c:pt>
                <c:pt idx="2">
                  <c:v> Confused</c:v>
                </c:pt>
                <c:pt idx="3">
                  <c:v> Frustrated</c:v>
                </c:pt>
                <c:pt idx="4">
                  <c:v> Urgent</c:v>
                </c:pt>
              </c:strCache>
            </c:strRef>
          </c:cat>
          <c:val>
            <c:numRef>
              <c:f>'Sentiment vs. Priority'!$B$4:$B$9</c:f>
              <c:numCache>
                <c:formatCode>0.00%</c:formatCode>
                <c:ptCount val="5"/>
                <c:pt idx="0">
                  <c:v>0.2</c:v>
                </c:pt>
                <c:pt idx="1">
                  <c:v>0.23333333333333334</c:v>
                </c:pt>
                <c:pt idx="2">
                  <c:v>0.23333333333333334</c:v>
                </c:pt>
                <c:pt idx="3">
                  <c:v>0.16666666666666666</c:v>
                </c:pt>
                <c:pt idx="4">
                  <c:v>0.16666666666666666</c:v>
                </c:pt>
              </c:numCache>
            </c:numRef>
          </c:val>
          <c:extLst>
            <c:ext xmlns:c16="http://schemas.microsoft.com/office/drawing/2014/chart" uri="{C3380CC4-5D6E-409C-BE32-E72D297353CC}">
              <c16:uniqueId val="{0000000A-17F9-4DE7-8F98-5C17C8BC60C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7525020094664145"/>
          <c:y val="0.45393281918277811"/>
          <c:w val="0.29245754480677716"/>
          <c:h val="0.4921268818793470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accent4">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[Technologies Datasets NEW.xlsx]Ticket Trends Over Time!PivotTable1</c:name>
    <c:fmtId val="2"/>
  </c:pivotSource>
  <c:chart>
    <c:title>
      <c:tx>
        <c:rich>
          <a:bodyPr rot="0" spcFirstLastPara="1" vertOverflow="ellipsis" vert="horz" wrap="square" anchor="ctr" anchorCtr="1"/>
          <a:lstStyle/>
          <a:p>
            <a:pPr>
              <a:defRPr sz="1800" b="0" i="0" u="none" strike="noStrike" kern="1200" spc="0" baseline="0">
                <a:solidFill>
                  <a:schemeClr val="accent4">
                    <a:lumMod val="50000"/>
                  </a:schemeClr>
                </a:solidFill>
                <a:latin typeface="+mn-lt"/>
                <a:ea typeface="+mn-ea"/>
                <a:cs typeface="+mn-cs"/>
              </a:defRPr>
            </a:pPr>
            <a:r>
              <a:rPr lang="en-US" sz="1800" b="1">
                <a:solidFill>
                  <a:schemeClr val="accent4">
                    <a:lumMod val="50000"/>
                  </a:schemeClr>
                </a:solidFill>
              </a:rPr>
              <a:t>Ticket Trends Over Time</a:t>
            </a:r>
          </a:p>
        </c:rich>
      </c:tx>
      <c:layout>
        <c:manualLayout>
          <c:xMode val="edge"/>
          <c:yMode val="edge"/>
          <c:x val="0.3447762999332506"/>
          <c:y val="2.777777777777777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'Ticket Trends Over Time'!$B$3</c:f>
              <c:strCache>
                <c:ptCount val="1"/>
                <c:pt idx="0">
                  <c:v>Total</c:v>
                </c:pt>
              </c:strCache>
            </c:strRef>
          </c:tx>
          <c:spPr>
            <a:ln w="28575" cap="rnd">
              <a:solidFill>
                <a:schemeClr val="accent4">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'Ticket Trends Over Time'!$A$4:$A$9</c:f>
              <c:strCache>
                <c:ptCount val="5"/>
                <c:pt idx="0">
                  <c:v> 2025-03-13</c:v>
                </c:pt>
                <c:pt idx="1">
                  <c:v> 2025-03-14</c:v>
                </c:pt>
                <c:pt idx="2">
                  <c:v> 2025-03-15</c:v>
                </c:pt>
                <c:pt idx="3">
                  <c:v> 2025-03-16</c:v>
                </c:pt>
                <c:pt idx="4">
                  <c:v> 2025-03-17</c:v>
                </c:pt>
              </c:strCache>
            </c:strRef>
          </c:cat>
          <c:val>
            <c:numRef>
              <c:f>'Ticket Trends Over Time'!$B$4:$B$9</c:f>
              <c:numCache>
                <c:formatCode>General</c:formatCode>
                <c:ptCount val="5"/>
                <c:pt idx="0">
                  <c:v>9</c:v>
                </c:pt>
                <c:pt idx="1">
                  <c:v>5</c:v>
                </c:pt>
                <c:pt idx="2">
                  <c:v>6</c:v>
                </c:pt>
                <c:pt idx="3">
                  <c:v>6</c:v>
                </c:pt>
                <c:pt idx="4">
                  <c:v>4</c:v>
                </c:pt>
              </c:numCache>
            </c:numRef>
          </c:val>
          <c:smooth val="0"/>
          <c:extLst>
            <c:ext xmlns:c16="http://schemas.microsoft.com/office/drawing/2014/chart" uri="{C3380CC4-5D6E-409C-BE32-E72D297353CC}">
              <c16:uniqueId val="{00000000-88A8-4C5E-9B73-50C60A748577}"/>
            </c:ext>
          </c:extLst>
        </c:ser>
        <c:dLbls>
          <c:dLblPos val="t"/>
          <c:showLegendKey val="0"/>
          <c:showVal val="1"/>
          <c:showCatName val="0"/>
          <c:showSerName val="0"/>
          <c:showPercent val="0"/>
          <c:showBubbleSize val="0"/>
        </c:dLbls>
        <c:smooth val="0"/>
        <c:axId val="275379840"/>
        <c:axId val="270346160"/>
      </c:lineChart>
      <c:catAx>
        <c:axId val="27537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endParaRPr lang="en-US"/>
          </a:p>
        </c:txPr>
        <c:crossAx val="270346160"/>
        <c:crosses val="autoZero"/>
        <c:auto val="1"/>
        <c:lblAlgn val="ctr"/>
        <c:lblOffset val="100"/>
        <c:noMultiLvlLbl val="0"/>
      </c:catAx>
      <c:valAx>
        <c:axId val="2703461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75379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[Technologies Datasets NEW.xlsx]Priority Breakdown!PivotTable1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4">
                    <a:lumMod val="50000"/>
                  </a:schemeClr>
                </a:solidFill>
              </a:rPr>
              <a:t>Priority Breakdown</a:t>
            </a:r>
          </a:p>
        </c:rich>
      </c:tx>
      <c:layout>
        <c:manualLayout>
          <c:xMode val="edge"/>
          <c:yMode val="edge"/>
          <c:x val="0.12340111557852949"/>
          <c:y val="2.99625468164794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noFill/>
          </a:ln>
          <a:effectLst/>
        </c:spPr>
      </c:pivotFmt>
      <c:pivotFmt>
        <c:idx val="2"/>
        <c:spPr>
          <a:solidFill>
            <a:schemeClr val="accent4">
              <a:lumMod val="75000"/>
            </a:schemeClr>
          </a:solidFill>
          <a:ln w="19050">
            <a:noFill/>
          </a:ln>
          <a:effectLst/>
        </c:spPr>
      </c:pivotFmt>
      <c:pivotFmt>
        <c:idx val="3"/>
        <c:spPr>
          <a:solidFill>
            <a:schemeClr val="accent4">
              <a:lumMod val="60000"/>
              <a:lumOff val="40000"/>
            </a:schemeClr>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w="19050">
            <a:noFill/>
          </a:ln>
          <a:effectLst/>
        </c:spPr>
      </c:pivotFmt>
      <c:pivotFmt>
        <c:idx val="6"/>
        <c:spPr>
          <a:solidFill>
            <a:schemeClr val="accent4">
              <a:lumMod val="75000"/>
            </a:schemeClr>
          </a:solidFill>
          <a:ln w="19050">
            <a:noFill/>
          </a:ln>
          <a:effectLst/>
        </c:spPr>
      </c:pivotFmt>
      <c:pivotFmt>
        <c:idx val="7"/>
        <c:spPr>
          <a:solidFill>
            <a:schemeClr val="accent4">
              <a:lumMod val="60000"/>
              <a:lumOff val="40000"/>
            </a:schemeClr>
          </a:solidFill>
          <a:ln w="19050">
            <a:no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50000"/>
            </a:schemeClr>
          </a:solidFill>
          <a:ln w="19050">
            <a:noFill/>
          </a:ln>
          <a:effectLst/>
        </c:spPr>
      </c:pivotFmt>
      <c:pivotFmt>
        <c:idx val="10"/>
        <c:spPr>
          <a:solidFill>
            <a:schemeClr val="accent4">
              <a:lumMod val="75000"/>
            </a:schemeClr>
          </a:solidFill>
          <a:ln w="19050">
            <a:noFill/>
          </a:ln>
          <a:effectLst/>
        </c:spPr>
      </c:pivotFmt>
      <c:pivotFmt>
        <c:idx val="11"/>
        <c:spPr>
          <a:solidFill>
            <a:schemeClr val="accent4">
              <a:lumMod val="60000"/>
              <a:lumOff val="40000"/>
            </a:schemeClr>
          </a:solidFill>
          <a:ln w="19050">
            <a:noFill/>
          </a:ln>
          <a:effectLst/>
        </c:spPr>
      </c:pivotFmt>
    </c:pivotFmts>
    <c:plotArea>
      <c:layout>
        <c:manualLayout>
          <c:layoutTarget val="inner"/>
          <c:xMode val="edge"/>
          <c:yMode val="edge"/>
          <c:x val="0.16125153916315885"/>
          <c:y val="0.19984035703402242"/>
          <c:w val="0.40047572178477692"/>
          <c:h val="0.66745953630796151"/>
        </c:manualLayout>
      </c:layout>
      <c:doughnutChart>
        <c:varyColors val="1"/>
        <c:ser>
          <c:idx val="0"/>
          <c:order val="0"/>
          <c:tx>
            <c:strRef>
              <c:f>'Priority Breakdown'!$B$3</c:f>
              <c:strCache>
                <c:ptCount val="1"/>
                <c:pt idx="0">
                  <c:v>Total</c:v>
                </c:pt>
              </c:strCache>
            </c:strRef>
          </c:tx>
          <c:dPt>
            <c:idx val="0"/>
            <c:bubble3D val="0"/>
            <c:spPr>
              <a:solidFill>
                <a:schemeClr val="accent4">
                  <a:lumMod val="50000"/>
                </a:schemeClr>
              </a:solidFill>
              <a:ln w="19050">
                <a:noFill/>
              </a:ln>
              <a:effectLst/>
            </c:spPr>
            <c:extLst>
              <c:ext xmlns:c16="http://schemas.microsoft.com/office/drawing/2014/chart" uri="{C3380CC4-5D6E-409C-BE32-E72D297353CC}">
                <c16:uniqueId val="{00000001-EFBE-46AE-A8EE-B3A688A2C617}"/>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EFBE-46AE-A8EE-B3A688A2C617}"/>
              </c:ext>
            </c:extLst>
          </c:dPt>
          <c:dPt>
            <c:idx val="2"/>
            <c:bubble3D val="0"/>
            <c:spPr>
              <a:solidFill>
                <a:schemeClr val="accent4">
                  <a:lumMod val="60000"/>
                  <a:lumOff val="40000"/>
                </a:schemeClr>
              </a:solidFill>
              <a:ln w="19050">
                <a:noFill/>
              </a:ln>
              <a:effectLst/>
            </c:spPr>
            <c:extLst>
              <c:ext xmlns:c16="http://schemas.microsoft.com/office/drawing/2014/chart" uri="{C3380CC4-5D6E-409C-BE32-E72D297353CC}">
                <c16:uniqueId val="{00000005-EFBE-46AE-A8EE-B3A688A2C617}"/>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'Priority Breakdown'!$A$4:$A$7</c:f>
              <c:strCache>
                <c:ptCount val="3"/>
                <c:pt idx="0">
                  <c:v> Critical</c:v>
                </c:pt>
                <c:pt idx="1">
                  <c:v> High</c:v>
                </c:pt>
                <c:pt idx="2">
                  <c:v> Medium</c:v>
                </c:pt>
              </c:strCache>
            </c:strRef>
          </c:cat>
          <c:val>
            <c:numRef>
              <c:f>'Priority Breakdown'!$B$4:$B$7</c:f>
              <c:numCache>
                <c:formatCode>General</c:formatCode>
                <c:ptCount val="3"/>
                <c:pt idx="0">
                  <c:v>11</c:v>
                </c:pt>
                <c:pt idx="1">
                  <c:v>11</c:v>
                </c:pt>
                <c:pt idx="2">
                  <c:v>8</c:v>
                </c:pt>
              </c:numCache>
            </c:numRef>
          </c:val>
          <c:extLst>
            <c:ext xmlns:c16="http://schemas.microsoft.com/office/drawing/2014/chart" uri="{C3380CC4-5D6E-409C-BE32-E72D297353CC}">
              <c16:uniqueId val="{00000006-EFBE-46AE-A8EE-B3A688A2C61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9322712252631404"/>
          <c:y val="0.50492632241194568"/>
          <c:w val="0.24269282207047388"/>
          <c:h val="0.3333003037541655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accent4">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[Technologies Datasets NEW.xlsx]Spending vs. Issue Category!PivotTable1</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accent4">
                    <a:lumMod val="50000"/>
                  </a:schemeClr>
                </a:solidFill>
              </a:rPr>
              <a:t>Spending vs. Issue Category</a:t>
            </a:r>
          </a:p>
        </c:rich>
      </c:tx>
      <c:layout>
        <c:manualLayout>
          <c:xMode val="edge"/>
          <c:yMode val="edge"/>
          <c:x val="0.33952326901248581"/>
          <c:y val="1.286173633440514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a:noFill/>
          </a:ln>
          <a:effectLst/>
        </c:spPr>
      </c:pivotFmt>
      <c:pivotFmt>
        <c:idx val="8"/>
        <c:spPr>
          <a:solidFill>
            <a:schemeClr val="accent4">
              <a:lumMod val="75000"/>
            </a:schemeClr>
          </a:solidFill>
          <a:ln>
            <a:noFill/>
          </a:ln>
          <a:effectLst/>
        </c:spPr>
      </c:pivotFmt>
      <c:pivotFmt>
        <c:idx val="9"/>
        <c:spPr>
          <a:solidFill>
            <a:schemeClr val="accent4">
              <a:lumMod val="60000"/>
              <a:lumOff val="40000"/>
            </a:schemeClr>
          </a:solidFill>
          <a:ln>
            <a:noFill/>
          </a:ln>
          <a:effectLst/>
        </c:spPr>
      </c:pivotFmt>
      <c:pivotFmt>
        <c:idx val="10"/>
        <c:spPr>
          <a:solidFill>
            <a:schemeClr val="accent4">
              <a:lumMod val="40000"/>
              <a:lumOff val="60000"/>
            </a:schemeClr>
          </a:solidFill>
          <a:ln>
            <a:noFill/>
          </a:ln>
          <a:effectLst/>
        </c:spPr>
      </c:pivotFmt>
      <c:pivotFmt>
        <c:idx val="11"/>
        <c:spPr>
          <a:solidFill>
            <a:schemeClr val="accent4">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50000"/>
            </a:schemeClr>
          </a:solidFill>
          <a:ln>
            <a:noFill/>
          </a:ln>
          <a:effectLst/>
        </c:spPr>
      </c:pivotFmt>
      <c:pivotFmt>
        <c:idx val="14"/>
        <c:spPr>
          <a:solidFill>
            <a:schemeClr val="accent4">
              <a:lumMod val="75000"/>
            </a:schemeClr>
          </a:solidFill>
          <a:ln>
            <a:noFill/>
          </a:ln>
          <a:effectLst/>
        </c:spPr>
      </c:pivotFmt>
      <c:pivotFmt>
        <c:idx val="15"/>
        <c:spPr>
          <a:solidFill>
            <a:schemeClr val="accent4">
              <a:lumMod val="60000"/>
              <a:lumOff val="40000"/>
            </a:schemeClr>
          </a:solidFill>
          <a:ln>
            <a:noFill/>
          </a:ln>
          <a:effectLst/>
        </c:spPr>
      </c:pivotFmt>
      <c:pivotFmt>
        <c:idx val="16"/>
        <c:spPr>
          <a:solidFill>
            <a:schemeClr val="accent4">
              <a:lumMod val="40000"/>
              <a:lumOff val="60000"/>
            </a:schemeClr>
          </a:solidFill>
          <a:ln>
            <a:noFill/>
          </a:ln>
          <a:effectLst/>
        </c:spPr>
      </c:pivotFmt>
      <c:pivotFmt>
        <c:idx val="17"/>
        <c:spPr>
          <a:solidFill>
            <a:schemeClr val="accent4">
              <a:lumMod val="20000"/>
              <a:lumOff val="80000"/>
            </a:schemeClr>
          </a:solidFill>
          <a:ln>
            <a:noFill/>
          </a:ln>
          <a:effectLst/>
        </c:spPr>
      </c:pivotFmt>
    </c:pivotFmts>
    <c:plotArea>
      <c:layout>
        <c:manualLayout>
          <c:layoutTarget val="inner"/>
          <c:xMode val="edge"/>
          <c:yMode val="edge"/>
          <c:x val="0.28510729575375154"/>
          <c:y val="0.13141571589265624"/>
          <c:w val="0.6556976234951335"/>
          <c:h val="0.815946190005992"/>
        </c:manualLayout>
      </c:layout>
      <c:barChart>
        <c:barDir val="bar"/>
        <c:grouping val="clustered"/>
        <c:varyColors val="0"/>
        <c:ser>
          <c:idx val="0"/>
          <c:order val="0"/>
          <c:tx>
            <c:strRef>
              <c:f>'Spending vs. Issue Category'!$B$3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7B97-451F-A29D-05F34EDB1A3F}"/>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7B97-451F-A29D-05F34EDB1A3F}"/>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7B97-451F-A29D-05F34EDB1A3F}"/>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7-7B97-451F-A29D-05F34EDB1A3F}"/>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9-7B97-451F-A29D-05F34EDB1A3F}"/>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'Spending vs. Issue Category'!$A$4:$A$9</c:f>
              <c:strCache>
                <c:ptCount val="5"/>
                <c:pt idx="0">
                  <c:v> Software Installation Failure</c:v>
                </c:pt>
                <c:pt idx="1">
                  <c:v> Account Synchronization Bug</c:v>
                </c:pt>
                <c:pt idx="2">
                  <c:v> Network Connectivity Issue</c:v>
                </c:pt>
                <c:pt idx="3">
                  <c:v> Payment Gateway Integration Failure</c:v>
                </c:pt>
                <c:pt idx="4">
                  <c:v> Device Compatibility Error</c:v>
                </c:pt>
              </c:strCache>
            </c:strRef>
          </c:cat>
          <c:val>
            <c:numRef>
              <c:f>'Spending vs. Issue Category'!$B$4:$B$9</c:f>
              <c:numCache>
                <c:formatCode>"$"#,##0.00</c:formatCode>
                <c:ptCount val="5"/>
                <c:pt idx="0">
                  <c:v>800</c:v>
                </c:pt>
                <c:pt idx="1">
                  <c:v>498</c:v>
                </c:pt>
                <c:pt idx="2">
                  <c:v>414</c:v>
                </c:pt>
                <c:pt idx="3">
                  <c:v>267</c:v>
                </c:pt>
                <c:pt idx="4">
                  <c:v>223</c:v>
                </c:pt>
              </c:numCache>
            </c:numRef>
          </c:val>
          <c:extLst>
            <c:ext xmlns:c16="http://schemas.microsoft.com/office/drawing/2014/chart" uri="{C3380CC4-5D6E-409C-BE32-E72D297353CC}">
              <c16:uniqueId val="{0000000A-7B97-451F-A29D-05F34EDB1A3F}"/>
            </c:ext>
          </c:extLst>
        </c:ser>
        <c:dLbls>
          <c:dLblPos val="outEnd"/>
          <c:showLegendKey val="0"/>
          <c:showVal val="1"/>
          <c:showCatName val="0"/>
          <c:showSerName val="0"/>
          <c:showPercent val="0"/>
          <c:showBubbleSize val="0"/>
        </c:dLbls>
        <c:gapWidth val="70"/>
        <c:axId val="2087102448"/>
        <c:axId val="2091908944"/>
      </c:barChart>
      <c:catAx>
        <c:axId val="20871024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4">
                    <a:lumMod val="50000"/>
                  </a:schemeClr>
                </a:solidFill>
                <a:latin typeface="+mn-lt"/>
                <a:ea typeface="+mn-ea"/>
                <a:cs typeface="+mn-cs"/>
              </a:defRPr>
            </a:pPr>
            <a:endParaRPr lang="en-US"/>
          </a:p>
        </c:txPr>
        <c:crossAx val="2091908944"/>
        <c:crosses val="autoZero"/>
        <c:auto val="1"/>
        <c:lblAlgn val="ctr"/>
        <c:lblOffset val="100"/>
        <c:noMultiLvlLbl val="0"/>
      </c:catAx>
      <c:valAx>
        <c:axId val="2091908944"/>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208710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[Technologies Datasets NEW.xlsx]Resolution Rate by Company!PivotTable1</c:name>
    <c:fmtId val="1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accent4">
                    <a:lumMod val="50000"/>
                  </a:schemeClr>
                </a:solidFill>
              </a:rPr>
              <a:t>Resolution Rate by Company</a:t>
            </a:r>
          </a:p>
        </c:rich>
      </c:tx>
      <c:layout>
        <c:manualLayout>
          <c:xMode val="edge"/>
          <c:yMode val="edge"/>
          <c:x val="0.18963426788351256"/>
          <c:y val="8.5742139375435209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a:noFill/>
          </a:ln>
          <a:effectLst/>
        </c:spPr>
      </c:pivotFmt>
      <c:pivotFmt>
        <c:idx val="8"/>
        <c:spPr>
          <a:solidFill>
            <a:schemeClr val="accent4">
              <a:lumMod val="75000"/>
            </a:schemeClr>
          </a:solidFill>
          <a:ln>
            <a:noFill/>
          </a:ln>
          <a:effectLst/>
        </c:spPr>
      </c:pivotFmt>
      <c:pivotFmt>
        <c:idx val="9"/>
        <c:spPr>
          <a:solidFill>
            <a:schemeClr val="accent4">
              <a:lumMod val="60000"/>
              <a:lumOff val="40000"/>
            </a:schemeClr>
          </a:solidFill>
          <a:ln>
            <a:noFill/>
          </a:ln>
          <a:effectLst/>
        </c:spPr>
      </c:pivotFmt>
      <c:pivotFmt>
        <c:idx val="10"/>
        <c:spPr>
          <a:solidFill>
            <a:schemeClr val="accent4">
              <a:lumMod val="40000"/>
              <a:lumOff val="60000"/>
            </a:schemeClr>
          </a:solidFill>
          <a:ln>
            <a:noFill/>
          </a:ln>
          <a:effectLst/>
        </c:spPr>
      </c:pivotFmt>
      <c:pivotFmt>
        <c:idx val="11"/>
        <c:spPr>
          <a:solidFill>
            <a:schemeClr val="accent4">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50000"/>
            </a:schemeClr>
          </a:solidFill>
          <a:ln>
            <a:noFill/>
          </a:ln>
          <a:effectLst/>
        </c:spPr>
      </c:pivotFmt>
      <c:pivotFmt>
        <c:idx val="14"/>
        <c:spPr>
          <a:solidFill>
            <a:schemeClr val="accent4">
              <a:lumMod val="75000"/>
            </a:schemeClr>
          </a:solidFill>
          <a:ln>
            <a:noFill/>
          </a:ln>
          <a:effectLst/>
        </c:spPr>
      </c:pivotFmt>
      <c:pivotFmt>
        <c:idx val="15"/>
        <c:spPr>
          <a:solidFill>
            <a:schemeClr val="accent4">
              <a:lumMod val="60000"/>
              <a:lumOff val="40000"/>
            </a:schemeClr>
          </a:solidFill>
          <a:ln>
            <a:noFill/>
          </a:ln>
          <a:effectLst/>
        </c:spPr>
      </c:pivotFmt>
      <c:pivotFmt>
        <c:idx val="16"/>
        <c:spPr>
          <a:solidFill>
            <a:schemeClr val="accent4">
              <a:lumMod val="40000"/>
              <a:lumOff val="6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50000"/>
            </a:schemeClr>
          </a:solidFill>
          <a:ln>
            <a:noFill/>
          </a:ln>
          <a:effectLst/>
        </c:spPr>
      </c:pivotFmt>
      <c:pivotFmt>
        <c:idx val="19"/>
        <c:spPr>
          <a:solidFill>
            <a:schemeClr val="accent4">
              <a:lumMod val="75000"/>
            </a:schemeClr>
          </a:solidFill>
          <a:ln>
            <a:noFill/>
          </a:ln>
          <a:effectLst/>
        </c:spPr>
      </c:pivotFmt>
      <c:pivotFmt>
        <c:idx val="20"/>
        <c:spPr>
          <a:solidFill>
            <a:schemeClr val="accent4">
              <a:lumMod val="60000"/>
              <a:lumOff val="40000"/>
            </a:schemeClr>
          </a:solidFill>
          <a:ln>
            <a:noFill/>
          </a:ln>
          <a:effectLst/>
        </c:spPr>
      </c:pivotFmt>
      <c:pivotFmt>
        <c:idx val="21"/>
        <c:spPr>
          <a:solidFill>
            <a:schemeClr val="accent4">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50000"/>
            </a:schemeClr>
          </a:solidFill>
          <a:ln>
            <a:noFill/>
          </a:ln>
          <a:effectLst/>
        </c:spPr>
      </c:pivotFmt>
      <c:pivotFmt>
        <c:idx val="24"/>
        <c:spPr>
          <a:solidFill>
            <a:schemeClr val="accent4">
              <a:lumMod val="75000"/>
            </a:schemeClr>
          </a:solidFill>
          <a:ln>
            <a:noFill/>
          </a:ln>
          <a:effectLst/>
        </c:spPr>
      </c:pivotFmt>
      <c:pivotFmt>
        <c:idx val="25"/>
        <c:spPr>
          <a:solidFill>
            <a:schemeClr val="accent4">
              <a:lumMod val="60000"/>
              <a:lumOff val="4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50000"/>
            </a:schemeClr>
          </a:solidFill>
          <a:ln>
            <a:noFill/>
          </a:ln>
          <a:effectLst/>
        </c:spPr>
      </c:pivotFmt>
      <c:pivotFmt>
        <c:idx val="28"/>
        <c:spPr>
          <a:solidFill>
            <a:schemeClr val="accent4">
              <a:lumMod val="75000"/>
            </a:schemeClr>
          </a:solidFill>
          <a:ln>
            <a:noFill/>
          </a:ln>
          <a:effectLst/>
        </c:spPr>
      </c:pivotFmt>
      <c:pivotFmt>
        <c:idx val="29"/>
        <c:spPr>
          <a:solidFill>
            <a:schemeClr val="accent4">
              <a:lumMod val="60000"/>
              <a:lumOff val="4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lumMod val="50000"/>
            </a:schemeClr>
          </a:solidFill>
          <a:ln>
            <a:noFill/>
          </a:ln>
          <a:effectLst/>
        </c:spPr>
      </c:pivotFmt>
      <c:pivotFmt>
        <c:idx val="32"/>
        <c:spPr>
          <a:solidFill>
            <a:schemeClr val="accent4">
              <a:lumMod val="75000"/>
            </a:schemeClr>
          </a:solidFill>
          <a:ln>
            <a:noFill/>
          </a:ln>
          <a:effectLst/>
        </c:spPr>
      </c:pivotFmt>
      <c:pivotFmt>
        <c:idx val="33"/>
        <c:spPr>
          <a:solidFill>
            <a:schemeClr val="accent4">
              <a:lumMod val="60000"/>
              <a:lumOff val="40000"/>
            </a:schemeClr>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lumMod val="50000"/>
            </a:schemeClr>
          </a:solidFill>
          <a:ln>
            <a:noFill/>
          </a:ln>
          <a:effectLst/>
        </c:spPr>
      </c:pivotFmt>
      <c:pivotFmt>
        <c:idx val="36"/>
        <c:spPr>
          <a:solidFill>
            <a:schemeClr val="accent4">
              <a:lumMod val="75000"/>
            </a:schemeClr>
          </a:solidFill>
          <a:ln>
            <a:noFill/>
          </a:ln>
          <a:effectLst/>
        </c:spPr>
      </c:pivotFmt>
      <c:pivotFmt>
        <c:idx val="37"/>
        <c:spPr>
          <a:solidFill>
            <a:schemeClr val="accent4">
              <a:lumMod val="60000"/>
              <a:lumOff val="40000"/>
            </a:schemeClr>
          </a:solidFill>
          <a:ln>
            <a:noFill/>
          </a:ln>
          <a:effectLst/>
        </c:spPr>
      </c:pivotFmt>
    </c:pivotFmts>
    <c:plotArea>
      <c:layout>
        <c:manualLayout>
          <c:layoutTarget val="inner"/>
          <c:xMode val="edge"/>
          <c:yMode val="edge"/>
          <c:x val="5.2758343219734563E-2"/>
          <c:y val="0.15422615030264075"/>
          <c:w val="0.8870761749078746"/>
          <c:h val="0.54330494402485408"/>
        </c:manualLayout>
      </c:layout>
      <c:barChart>
        <c:barDir val="col"/>
        <c:grouping val="clustered"/>
        <c:varyColors val="0"/>
        <c:ser>
          <c:idx val="0"/>
          <c:order val="0"/>
          <c:tx>
            <c:strRef>
              <c:f>'Resolution Rate by Company'!$B$3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C8CD-44D5-B715-EF5C9737B894}"/>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C8CD-44D5-B715-EF5C9737B894}"/>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C8CD-44D5-B715-EF5C9737B894}"/>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'Resolution Rate by Company'!$A$4:$A$10</c:f>
              <c:multiLvlStrCache>
                <c:ptCount val="3"/>
                <c:lvl>
                  <c:pt idx="0">
                    <c:v> Resolved</c:v>
                  </c:pt>
                  <c:pt idx="1">
                    <c:v> Resolved</c:v>
                  </c:pt>
                  <c:pt idx="2">
                    <c:v> Resolved</c:v>
                  </c:pt>
                </c:lvl>
                <c:lvl>
                  <c:pt idx="0">
                    <c:v>Foufani Technologies </c:v>
                  </c:pt>
                  <c:pt idx="1">
                    <c:v>Hisense Tech</c:v>
                  </c:pt>
                  <c:pt idx="2">
                    <c:v>Atech Programs</c:v>
                  </c:pt>
                </c:lvl>
              </c:multiLvlStrCache>
            </c:multiLvlStrRef>
          </c:cat>
          <c:val>
            <c:numRef>
              <c:f>'Resolution Rate by Company'!$B$4:$B$10</c:f>
              <c:numCache>
                <c:formatCode>General</c:formatCode>
                <c:ptCount val="3"/>
                <c:pt idx="0">
                  <c:v>13</c:v>
                </c:pt>
                <c:pt idx="1">
                  <c:v>10</c:v>
                </c:pt>
                <c:pt idx="2">
                  <c:v>7</c:v>
                </c:pt>
              </c:numCache>
            </c:numRef>
          </c:val>
          <c:extLst>
            <c:ext xmlns:c16="http://schemas.microsoft.com/office/drawing/2014/chart" uri="{C3380CC4-5D6E-409C-BE32-E72D297353CC}">
              <c16:uniqueId val="{00000006-C8CD-44D5-B715-EF5C9737B894}"/>
            </c:ext>
          </c:extLst>
        </c:ser>
        <c:dLbls>
          <c:dLblPos val="outEnd"/>
          <c:showLegendKey val="0"/>
          <c:showVal val="1"/>
          <c:showCatName val="0"/>
          <c:showSerName val="0"/>
          <c:showPercent val="0"/>
          <c:showBubbleSize val="0"/>
        </c:dLbls>
        <c:gapWidth val="140"/>
        <c:axId val="2087102448"/>
        <c:axId val="2091908944"/>
      </c:barChart>
      <c:catAx>
        <c:axId val="208710244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4">
                    <a:lumMod val="50000"/>
                  </a:schemeClr>
                </a:solidFill>
                <a:latin typeface="+mn-lt"/>
                <a:ea typeface="+mn-ea"/>
                <a:cs typeface="+mn-cs"/>
              </a:defRPr>
            </a:pPr>
            <a:endParaRPr lang="en-US"/>
          </a:p>
        </c:txPr>
        <c:crossAx val="2091908944"/>
        <c:crosses val="autoZero"/>
        <c:auto val="1"/>
        <c:lblAlgn val="ctr"/>
        <c:lblOffset val="100"/>
        <c:noMultiLvlLbl val="0"/>
      </c:catAx>
      <c:valAx>
        <c:axId val="2091908944"/>
        <c:scaling>
          <c:orientation val="minMax"/>
        </c:scaling>
        <c:delete val="1"/>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8710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9.xml"/><Relationship Id="rId16" Type="http://schemas.openxmlformats.org/officeDocument/2006/relationships/image" Target="../media/image9.pn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svg"/><Relationship Id="rId5" Type="http://schemas.openxmlformats.org/officeDocument/2006/relationships/chart" Target="../charts/chart12.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11.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438150</xdr:colOff>
      <xdr:row>0</xdr:row>
      <xdr:rowOff>352425</xdr:rowOff>
    </xdr:from>
    <xdr:to>
      <xdr:col>7</xdr:col>
      <xdr:colOff>342900</xdr:colOff>
      <xdr:row>26</xdr:row>
      <xdr:rowOff>19050</xdr:rowOff>
    </xdr:to>
    <xdr:sp macro="" textlink="">
      <xdr:nvSpPr>
        <xdr:cNvPr id="2" name="Rectangle 1">
          <a:extLst>
            <a:ext uri="{FF2B5EF4-FFF2-40B4-BE49-F238E27FC236}">
              <a16:creationId xmlns:a16="http://schemas.microsoft.com/office/drawing/2014/main" id="{414F0B46-0446-4F4E-A866-74A0745E2481}"/>
            </a:ext>
          </a:extLst>
        </xdr:cNvPr>
        <xdr:cNvSpPr/>
      </xdr:nvSpPr>
      <xdr:spPr>
        <a:xfrm>
          <a:off x="438150" y="352425"/>
          <a:ext cx="4905375" cy="5429250"/>
        </a:xfrm>
        <a:prstGeom prst="rect">
          <a:avLst/>
        </a:prstGeom>
        <a:solidFill>
          <a:schemeClr val="accent4">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u="sng">
              <a:latin typeface="+mn-lt"/>
              <a:cs typeface="Arial" panose="020B0604020202020204" pitchFamily="34" charset="0"/>
            </a:rPr>
            <a:t>Project Split</a:t>
          </a:r>
        </a:p>
        <a:p>
          <a:pPr algn="ctr"/>
          <a:endParaRPr lang="en-US" sz="1400">
            <a:latin typeface="+mn-lt"/>
            <a:cs typeface="Arial" panose="020B0604020202020204" pitchFamily="34" charset="0"/>
          </a:endParaRPr>
        </a:p>
        <a:p>
          <a:pPr algn="l"/>
          <a:r>
            <a:rPr lang="en-US" sz="1200" u="sng">
              <a:latin typeface="+mn-lt"/>
              <a:cs typeface="Arial" panose="020B0604020202020204" pitchFamily="34" charset="0"/>
            </a:rPr>
            <a:t>Independent</a:t>
          </a:r>
          <a:r>
            <a:rPr lang="en-US" sz="1200" u="sng" baseline="0">
              <a:latin typeface="+mn-lt"/>
              <a:cs typeface="Arial" panose="020B0604020202020204" pitchFamily="34" charset="0"/>
            </a:rPr>
            <a:t> Values </a:t>
          </a:r>
          <a:endParaRPr lang="en-US" sz="1200" baseline="0">
            <a:latin typeface="+mn-lt"/>
            <a:cs typeface="Arial" panose="020B0604020202020204" pitchFamily="34" charset="0"/>
          </a:endParaRPr>
        </a:p>
        <a:p>
          <a:pPr algn="l"/>
          <a:r>
            <a:rPr lang="en-US" sz="1200" baseline="0">
              <a:latin typeface="+mn-lt"/>
              <a:cs typeface="Arial" panose="020B0604020202020204" pitchFamily="34" charset="0"/>
            </a:rPr>
            <a:t>1. Name of Company </a:t>
          </a:r>
        </a:p>
        <a:p>
          <a:pPr algn="l"/>
          <a:r>
            <a:rPr lang="en-US" sz="1200" baseline="0">
              <a:latin typeface="+mn-lt"/>
              <a:cs typeface="Arial" panose="020B0604020202020204" pitchFamily="34" charset="0"/>
            </a:rPr>
            <a:t>2. Issue Category</a:t>
          </a:r>
        </a:p>
        <a:p>
          <a:pPr algn="l"/>
          <a:r>
            <a:rPr lang="en-US" sz="1200" baseline="0">
              <a:latin typeface="+mn-lt"/>
              <a:cs typeface="Arial" panose="020B0604020202020204" pitchFamily="34" charset="0"/>
            </a:rPr>
            <a:t>3. Solution </a:t>
          </a:r>
        </a:p>
        <a:p>
          <a:pPr algn="l"/>
          <a:r>
            <a:rPr lang="en-US" sz="1200" baseline="0">
              <a:latin typeface="+mn-lt"/>
              <a:cs typeface="Arial" panose="020B0604020202020204" pitchFamily="34" charset="0"/>
            </a:rPr>
            <a:t>4. Resolution Status</a:t>
          </a:r>
        </a:p>
        <a:p>
          <a:pPr algn="l"/>
          <a:endParaRPr lang="en-US" sz="1200" baseline="0">
            <a:latin typeface="+mn-lt"/>
            <a:cs typeface="Arial" panose="020B0604020202020204" pitchFamily="34" charset="0"/>
          </a:endParaRPr>
        </a:p>
        <a:p>
          <a:pPr algn="l"/>
          <a:r>
            <a:rPr lang="en-US" sz="1200" u="sng" baseline="0">
              <a:latin typeface="+mn-lt"/>
              <a:cs typeface="Arial" panose="020B0604020202020204" pitchFamily="34" charset="0"/>
            </a:rPr>
            <a:t>Dependent Values </a:t>
          </a:r>
        </a:p>
        <a:p>
          <a:pPr algn="l"/>
          <a:r>
            <a:rPr lang="en-US" sz="1200" baseline="0">
              <a:latin typeface="+mn-lt"/>
              <a:cs typeface="Arial" panose="020B0604020202020204" pitchFamily="34" charset="0"/>
            </a:rPr>
            <a:t>1. Sentiment</a:t>
          </a:r>
        </a:p>
        <a:p>
          <a:pPr algn="l"/>
          <a:r>
            <a:rPr lang="en-US" sz="1200" u="none" baseline="0">
              <a:latin typeface="+mn-lt"/>
              <a:cs typeface="Arial" panose="020B0604020202020204" pitchFamily="34" charset="0"/>
            </a:rPr>
            <a:t>2. Priority</a:t>
          </a:r>
        </a:p>
        <a:p>
          <a:pPr algn="l"/>
          <a:r>
            <a:rPr lang="en-US" sz="1200" u="none" baseline="0">
              <a:latin typeface="+mn-lt"/>
              <a:cs typeface="Arial" panose="020B0604020202020204" pitchFamily="34" charset="0"/>
            </a:rPr>
            <a:t>3. Ticket ID</a:t>
          </a:r>
        </a:p>
        <a:p>
          <a:pPr algn="l"/>
          <a:r>
            <a:rPr lang="en-US" sz="1200" u="none" baseline="0">
              <a:latin typeface="+mn-lt"/>
              <a:cs typeface="Arial" panose="020B0604020202020204" pitchFamily="34" charset="0"/>
            </a:rPr>
            <a:t>4. Date of Resolution</a:t>
          </a:r>
        </a:p>
        <a:p>
          <a:pPr algn="l"/>
          <a:r>
            <a:rPr lang="en-US" sz="1200" u="none" baseline="0">
              <a:latin typeface="+mn-lt"/>
              <a:cs typeface="Arial" panose="020B0604020202020204" pitchFamily="34" charset="0"/>
            </a:rPr>
            <a:t>5. Amount spent</a:t>
          </a:r>
        </a:p>
        <a:p>
          <a:pPr algn="l"/>
          <a:endParaRPr lang="en-US" sz="1200" u="none">
            <a:latin typeface="+mn-lt"/>
            <a:cs typeface="Arial" panose="020B0604020202020204" pitchFamily="34" charset="0"/>
          </a:endParaRPr>
        </a:p>
        <a:p>
          <a:pPr algn="l"/>
          <a:r>
            <a:rPr lang="en-US" sz="1200" u="sng">
              <a:latin typeface="+mn-lt"/>
              <a:cs typeface="Arial" panose="020B0604020202020204" pitchFamily="34" charset="0"/>
            </a:rPr>
            <a:t>Industry</a:t>
          </a:r>
          <a:r>
            <a:rPr lang="en-US" sz="1200" u="sng" baseline="0">
              <a:latin typeface="+mn-lt"/>
              <a:cs typeface="Arial" panose="020B0604020202020204" pitchFamily="34" charset="0"/>
            </a:rPr>
            <a:t> Type of Data</a:t>
          </a:r>
        </a:p>
        <a:p>
          <a:pPr algn="l"/>
          <a:r>
            <a:rPr lang="en-US" sz="1200" u="none" baseline="0">
              <a:latin typeface="+mn-lt"/>
              <a:cs typeface="Arial" panose="020B0604020202020204" pitchFamily="34" charset="0"/>
            </a:rPr>
            <a:t>A firm with revenue means </a:t>
          </a:r>
        </a:p>
        <a:p>
          <a:pPr algn="l"/>
          <a:endParaRPr lang="en-US" sz="1200" u="none" baseline="0">
            <a:latin typeface="+mn-lt"/>
            <a:cs typeface="Arial" panose="020B0604020202020204" pitchFamily="34" charset="0"/>
          </a:endParaRPr>
        </a:p>
        <a:p>
          <a:pPr algn="l"/>
          <a:r>
            <a:rPr lang="en-US" sz="1200" u="sng" baseline="0">
              <a:latin typeface="+mn-lt"/>
              <a:cs typeface="Arial" panose="020B0604020202020204" pitchFamily="34" charset="0"/>
            </a:rPr>
            <a:t>Story of Data </a:t>
          </a:r>
          <a:endParaRPr lang="en-US" sz="1200" u="none" baseline="0">
            <a:latin typeface="+mn-lt"/>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chemeClr val="lt1"/>
              </a:solidFill>
              <a:effectLst/>
              <a:latin typeface="+mn-lt"/>
              <a:ea typeface="+mn-ea"/>
              <a:cs typeface="Arial" panose="020B0604020202020204" pitchFamily="34" charset="0"/>
            </a:rPr>
            <a:t>The data is telling a story about a firm with the logs of ticket historical data for a particular year.</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u="sng" baseline="0">
            <a:solidFill>
              <a:schemeClr val="lt1"/>
            </a:solidFill>
            <a:effectLst/>
            <a:latin typeface="+mn-lt"/>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u="sng" baseline="0">
              <a:solidFill>
                <a:schemeClr val="lt1"/>
              </a:solidFill>
              <a:effectLst/>
              <a:latin typeface="+mn-lt"/>
              <a:ea typeface="+mn-ea"/>
              <a:cs typeface="Arial" panose="020B0604020202020204" pitchFamily="34" charset="0"/>
            </a:rPr>
            <a:t>Stakeholders of the Project</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u="none" baseline="0">
              <a:solidFill>
                <a:schemeClr val="lt1"/>
              </a:solidFill>
              <a:effectLst/>
              <a:latin typeface="+mn-lt"/>
              <a:ea typeface="+mn-ea"/>
              <a:cs typeface="Arial" panose="020B0604020202020204" pitchFamily="34" charset="0"/>
            </a:rPr>
            <a:t>The Chief Executive Officer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u="none" baseline="0">
            <a:solidFill>
              <a:schemeClr val="lt1"/>
            </a:solidFill>
            <a:effectLst/>
            <a:latin typeface="+mn-lt"/>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u="sng" baseline="0">
              <a:solidFill>
                <a:schemeClr val="lt1"/>
              </a:solidFill>
              <a:effectLst/>
              <a:latin typeface="+mn-lt"/>
              <a:ea typeface="+mn-ea"/>
              <a:cs typeface="Arial" panose="020B0604020202020204" pitchFamily="34" charset="0"/>
            </a:rPr>
            <a:t>What success means to the industry</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u="none" baseline="0">
              <a:solidFill>
                <a:schemeClr val="lt1"/>
              </a:solidFill>
              <a:effectLst/>
              <a:latin typeface="+mn-lt"/>
              <a:ea typeface="+mn-ea"/>
              <a:cs typeface="Arial" panose="020B0604020202020204" pitchFamily="34" charset="0"/>
            </a:rPr>
            <a:t>Generating revenue </a:t>
          </a:r>
          <a:endParaRPr lang="en-US" sz="1200" u="none" baseline="0">
            <a:latin typeface="+mn-lt"/>
            <a:cs typeface="Arial" panose="020B0604020202020204" pitchFamily="34" charset="0"/>
          </a:endParaRPr>
        </a:p>
        <a:p>
          <a:pPr algn="l"/>
          <a:endParaRPr lang="en-US" sz="1100" u="none" baseline="0">
            <a:latin typeface="Arial" panose="020B0604020202020204" pitchFamily="34" charset="0"/>
            <a:cs typeface="Arial" panose="020B0604020202020204" pitchFamily="34" charset="0"/>
          </a:endParaRPr>
        </a:p>
        <a:p>
          <a:pPr algn="l"/>
          <a:endParaRPr lang="en-US" sz="1100" u="none">
            <a:latin typeface="Arial" panose="020B0604020202020204" pitchFamily="34" charset="0"/>
            <a:cs typeface="Arial" panose="020B0604020202020204" pitchFamily="34" charset="0"/>
          </a:endParaRPr>
        </a:p>
      </xdr:txBody>
    </xdr:sp>
    <xdr:clientData/>
  </xdr:twoCellAnchor>
  <xdr:twoCellAnchor>
    <xdr:from>
      <xdr:col>7</xdr:col>
      <xdr:colOff>561975</xdr:colOff>
      <xdr:row>0</xdr:row>
      <xdr:rowOff>352425</xdr:rowOff>
    </xdr:from>
    <xdr:to>
      <xdr:col>15</xdr:col>
      <xdr:colOff>590550</xdr:colOff>
      <xdr:row>26</xdr:row>
      <xdr:rowOff>0</xdr:rowOff>
    </xdr:to>
    <xdr:sp macro="" textlink="">
      <xdr:nvSpPr>
        <xdr:cNvPr id="3" name="Rectangle 2">
          <a:extLst>
            <a:ext uri="{FF2B5EF4-FFF2-40B4-BE49-F238E27FC236}">
              <a16:creationId xmlns:a16="http://schemas.microsoft.com/office/drawing/2014/main" id="{FDADA94D-79C5-4370-B43C-BECF090F566D}"/>
            </a:ext>
          </a:extLst>
        </xdr:cNvPr>
        <xdr:cNvSpPr/>
      </xdr:nvSpPr>
      <xdr:spPr>
        <a:xfrm>
          <a:off x="5562600" y="352425"/>
          <a:ext cx="4905375" cy="5410200"/>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u="sng">
              <a:solidFill>
                <a:schemeClr val="lt1"/>
              </a:solidFill>
              <a:effectLst/>
              <a:latin typeface="+mn-lt"/>
              <a:ea typeface="+mn-ea"/>
              <a:cs typeface="Arial" panose="020B0604020202020204" pitchFamily="34" charset="0"/>
            </a:rPr>
            <a:t>Potential</a:t>
          </a:r>
          <a:r>
            <a:rPr lang="en-US" sz="1400" b="1" u="sng" baseline="0">
              <a:solidFill>
                <a:schemeClr val="lt1"/>
              </a:solidFill>
              <a:effectLst/>
              <a:latin typeface="+mn-lt"/>
              <a:ea typeface="+mn-ea"/>
              <a:cs typeface="Arial" panose="020B0604020202020204" pitchFamily="34" charset="0"/>
            </a:rPr>
            <a:t> Analysis/ Questions</a:t>
          </a:r>
          <a:endParaRPr lang="en-US" sz="1400" u="sng">
            <a:effectLst/>
            <a:latin typeface="+mn-lt"/>
            <a:cs typeface="Arial" panose="020B0604020202020204" pitchFamily="34" charset="0"/>
          </a:endParaRPr>
        </a:p>
        <a:p>
          <a:pPr algn="l"/>
          <a:endParaRPr lang="en-US"/>
        </a:p>
        <a:p>
          <a:r>
            <a:rPr lang="en-US" sz="1200" b="0">
              <a:latin typeface="+mn-lt"/>
              <a:cs typeface="Arial" panose="020B0604020202020204" pitchFamily="34" charset="0"/>
            </a:rPr>
            <a:t>1. </a:t>
          </a:r>
          <a:r>
            <a:rPr lang="en-US" sz="1200">
              <a:latin typeface="+mn-lt"/>
            </a:rPr>
            <a:t>Which company has the highest number of tickets?</a:t>
          </a:r>
        </a:p>
        <a:p>
          <a:endParaRPr lang="en-US" sz="1200">
            <a:latin typeface="+mn-lt"/>
          </a:endParaRPr>
        </a:p>
        <a:p>
          <a:r>
            <a:rPr lang="en-US" sz="1200">
              <a:latin typeface="+mn-lt"/>
            </a:rPr>
            <a:t>2. How many tickets were logged by</a:t>
          </a:r>
          <a:r>
            <a:rPr lang="en-US" sz="1200" baseline="0">
              <a:latin typeface="+mn-lt"/>
            </a:rPr>
            <a:t> a particular </a:t>
          </a:r>
          <a:r>
            <a:rPr lang="en-US" sz="1200">
              <a:latin typeface="+mn-lt"/>
            </a:rPr>
            <a:t>company?</a:t>
          </a:r>
        </a:p>
        <a:p>
          <a:endParaRPr lang="en-US" sz="1200">
            <a:latin typeface="+mn-lt"/>
          </a:endParaRPr>
        </a:p>
        <a:p>
          <a:r>
            <a:rPr lang="en-US" sz="1200">
              <a:latin typeface="+mn-lt"/>
            </a:rPr>
            <a:t>3. What is the resolution rate for each company?</a:t>
          </a:r>
        </a:p>
        <a:p>
          <a:endParaRPr lang="en-US" sz="1200">
            <a:latin typeface="+mn-lt"/>
          </a:endParaRPr>
        </a:p>
        <a:p>
          <a:pPr algn="l"/>
          <a:r>
            <a:rPr lang="en-US" sz="1200">
              <a:latin typeface="+mn-lt"/>
            </a:rPr>
            <a:t>4. Which Ticket ID has the highest resolution cost?</a:t>
          </a:r>
        </a:p>
        <a:p>
          <a:pPr algn="l"/>
          <a:endParaRPr lang="en-US" sz="1200">
            <a:latin typeface="+mn-lt"/>
          </a:endParaRPr>
        </a:p>
        <a:p>
          <a:r>
            <a:rPr lang="en-US" sz="1200">
              <a:latin typeface="+mn-lt"/>
            </a:rPr>
            <a:t>5. What are the most common issue categories?</a:t>
          </a:r>
        </a:p>
        <a:p>
          <a:endParaRPr lang="en-US" sz="1200">
            <a:latin typeface="+mn-lt"/>
          </a:endParaRPr>
        </a:p>
        <a:p>
          <a:r>
            <a:rPr lang="en-US" sz="1200">
              <a:latin typeface="+mn-lt"/>
            </a:rPr>
            <a:t>6. Which issue category incurred the highest resolution cost?</a:t>
          </a:r>
        </a:p>
        <a:p>
          <a:endParaRPr lang="en-US" sz="1200">
            <a:latin typeface="+mn-lt"/>
          </a:endParaRPr>
        </a:p>
        <a:p>
          <a:r>
            <a:rPr lang="en-US" sz="1200">
              <a:latin typeface="+mn-lt"/>
            </a:rPr>
            <a:t>7. What is the most common user sentiment in ticket submissions?</a:t>
          </a:r>
        </a:p>
        <a:p>
          <a:endParaRPr lang="en-US" sz="1200">
            <a:latin typeface="+mn-lt"/>
          </a:endParaRPr>
        </a:p>
        <a:p>
          <a:r>
            <a:rPr lang="en-US" sz="1200">
              <a:latin typeface="+mn-lt"/>
            </a:rPr>
            <a:t>8. What are the most frequently used solutions?</a:t>
          </a:r>
        </a:p>
        <a:p>
          <a:endParaRPr lang="en-US" sz="1200">
            <a:latin typeface="+mn-lt"/>
          </a:endParaRPr>
        </a:p>
        <a:p>
          <a:r>
            <a:rPr lang="en-US" sz="1200">
              <a:latin typeface="+mn-lt"/>
            </a:rPr>
            <a:t>9. Which solution was most effective in resolving tickets?</a:t>
          </a:r>
        </a:p>
        <a:p>
          <a:endParaRPr lang="en-US" sz="1200">
            <a:latin typeface="+mn-lt"/>
          </a:endParaRPr>
        </a:p>
        <a:p>
          <a:r>
            <a:rPr lang="en-US" sz="1200">
              <a:latin typeface="+mn-lt"/>
            </a:rPr>
            <a:t>10. </a:t>
          </a:r>
          <a:r>
            <a:rPr lang="en-US" sz="1200"/>
            <a:t>How many tickets remain unresolved?</a:t>
          </a:r>
          <a:endParaRPr lang="en-US" sz="1200">
            <a:latin typeface="+mn-lt"/>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276224</xdr:colOff>
      <xdr:row>0</xdr:row>
      <xdr:rowOff>342900</xdr:rowOff>
    </xdr:from>
    <xdr:to>
      <xdr:col>9</xdr:col>
      <xdr:colOff>28574</xdr:colOff>
      <xdr:row>15</xdr:row>
      <xdr:rowOff>104775</xdr:rowOff>
    </xdr:to>
    <xdr:sp macro="" textlink="">
      <xdr:nvSpPr>
        <xdr:cNvPr id="4" name="Rectangle 3">
          <a:extLst>
            <a:ext uri="{FF2B5EF4-FFF2-40B4-BE49-F238E27FC236}">
              <a16:creationId xmlns:a16="http://schemas.microsoft.com/office/drawing/2014/main" id="{BF57287B-876C-4BFE-8D21-0D5F50F226C0}"/>
            </a:ext>
          </a:extLst>
        </xdr:cNvPr>
        <xdr:cNvSpPr/>
      </xdr:nvSpPr>
      <xdr:spPr>
        <a:xfrm>
          <a:off x="276224" y="342900"/>
          <a:ext cx="5972175" cy="3429000"/>
        </a:xfrm>
        <a:prstGeom prst="rect">
          <a:avLst/>
        </a:prstGeom>
        <a:solidFill>
          <a:schemeClr val="accent4">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u="sng">
              <a:solidFill>
                <a:schemeClr val="lt1"/>
              </a:solidFill>
              <a:effectLst/>
              <a:latin typeface="Arial" panose="020B0604020202020204" pitchFamily="34" charset="0"/>
              <a:ea typeface="+mn-ea"/>
              <a:cs typeface="Arial" panose="020B0604020202020204" pitchFamily="34" charset="0"/>
            </a:rPr>
            <a:t>In</a:t>
          </a:r>
          <a:r>
            <a:rPr lang="en-US" sz="1200" b="1" u="sng" baseline="0">
              <a:solidFill>
                <a:schemeClr val="lt1"/>
              </a:solidFill>
              <a:effectLst/>
              <a:latin typeface="Arial" panose="020B0604020202020204" pitchFamily="34" charset="0"/>
              <a:ea typeface="+mn-ea"/>
              <a:cs typeface="Arial" panose="020B0604020202020204" pitchFamily="34" charset="0"/>
            </a:rPr>
            <a:t> Analysis Observation</a:t>
          </a:r>
        </a:p>
        <a:p>
          <a:pPr marL="0" marR="0" lvl="0" indent="0" algn="l" defTabSz="914400" eaLnBrk="1" fontAlgn="auto" latinLnBrk="0" hangingPunct="1">
            <a:lnSpc>
              <a:spcPct val="100000"/>
            </a:lnSpc>
            <a:spcBef>
              <a:spcPts val="0"/>
            </a:spcBef>
            <a:spcAft>
              <a:spcPts val="0"/>
            </a:spcAft>
            <a:buClrTx/>
            <a:buSzTx/>
            <a:buFontTx/>
            <a:buNone/>
            <a:tabLst/>
            <a:defRPr/>
          </a:pPr>
          <a:endParaRPr lang="en-US"/>
        </a:p>
        <a:p>
          <a:r>
            <a:rPr lang="en-US" sz="1200" b="0">
              <a:latin typeface="+mn-lt"/>
              <a:cs typeface="Arial" panose="020B0604020202020204" pitchFamily="34" charset="0"/>
            </a:rPr>
            <a:t>1. </a:t>
          </a:r>
          <a:r>
            <a:rPr lang="en-US" sz="1200" b="0">
              <a:latin typeface="+mn-lt"/>
            </a:rPr>
            <a:t>Software Installation Failures caused the highest costs ($800), meaning it demands urgent attention.</a:t>
          </a:r>
        </a:p>
        <a:p>
          <a:r>
            <a:rPr lang="en-US" sz="1200" b="0">
              <a:latin typeface="+mn-lt"/>
            </a:rPr>
            <a:t>Account Synchronization Bugs and Network Connectivity Issues are also costly, indicating a need for better debugging and system stability improvements.</a:t>
          </a:r>
        </a:p>
        <a:p>
          <a:endParaRPr lang="en-US" sz="1200">
            <a:latin typeface="+mn-lt"/>
          </a:endParaRPr>
        </a:p>
        <a:p>
          <a:r>
            <a:rPr lang="en-US" sz="1200">
              <a:latin typeface="+mn-lt"/>
            </a:rPr>
            <a:t>2. The highest ticket </a:t>
          </a:r>
          <a:r>
            <a:rPr lang="en-US" sz="1200" b="0">
              <a:latin typeface="+mn-lt"/>
            </a:rPr>
            <a:t>volume was on March 13 (9 tickets).</a:t>
          </a:r>
          <a:r>
            <a:rPr lang="en-US" sz="1200" b="0" baseline="0">
              <a:latin typeface="+mn-lt"/>
            </a:rPr>
            <a:t> </a:t>
          </a:r>
          <a:r>
            <a:rPr lang="en-US" sz="1200" b="0">
              <a:latin typeface="+mn-lt"/>
            </a:rPr>
            <a:t>Ticket volume dropped to 4 tickets on March 17, suggesting either a successful resolution effort or a temporary decline in reported issues.</a:t>
          </a:r>
        </a:p>
        <a:p>
          <a:endParaRPr lang="en-US" sz="1200" b="0">
            <a:latin typeface="+mn-lt"/>
          </a:endParaRPr>
        </a:p>
        <a:p>
          <a:r>
            <a:rPr lang="en-US" sz="1200" b="0">
              <a:latin typeface="+mn-lt"/>
            </a:rPr>
            <a:t>3. Nearly half of the users (46.66%) expressed frustration or urgency, meaning many issues significantly impact users.</a:t>
          </a:r>
        </a:p>
        <a:p>
          <a:r>
            <a:rPr lang="en-US" sz="1200" b="0">
              <a:latin typeface="+mn-lt"/>
            </a:rPr>
            <a:t>20% reported confusion, indicating the need for better user guidance or self-help solutions.</a:t>
          </a:r>
        </a:p>
        <a:p>
          <a:endParaRPr lang="en-US" sz="1200" b="0">
            <a:latin typeface="+mn-lt"/>
          </a:endParaRPr>
        </a:p>
        <a:p>
          <a:r>
            <a:rPr lang="en-US" sz="1200" b="0">
              <a:latin typeface="+mn-lt"/>
            </a:rPr>
            <a:t>4. Cache clearing and sync resetting are frequent fixes, suggesting many issues stem from temporary data storage problems.</a:t>
          </a:r>
        </a:p>
        <a:p>
          <a:endParaRPr lang="en-US" sz="1000" b="0"/>
        </a:p>
        <a:p>
          <a:endParaRPr lang="en-US" sz="1000"/>
        </a:p>
        <a:p>
          <a:pPr algn="l"/>
          <a:endParaRPr lang="en-US" sz="1000" b="0" u="sng">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xdr:txBody>
    </xdr:sp>
    <xdr:clientData/>
  </xdr:twoCellAnchor>
  <xdr:twoCellAnchor>
    <xdr:from>
      <xdr:col>9</xdr:col>
      <xdr:colOff>381000</xdr:colOff>
      <xdr:row>0</xdr:row>
      <xdr:rowOff>333374</xdr:rowOff>
    </xdr:from>
    <xdr:to>
      <xdr:col>18</xdr:col>
      <xdr:colOff>514350</xdr:colOff>
      <xdr:row>15</xdr:row>
      <xdr:rowOff>104774</xdr:rowOff>
    </xdr:to>
    <xdr:sp macro="" textlink="">
      <xdr:nvSpPr>
        <xdr:cNvPr id="5" name="Rectangle 4">
          <a:extLst>
            <a:ext uri="{FF2B5EF4-FFF2-40B4-BE49-F238E27FC236}">
              <a16:creationId xmlns:a16="http://schemas.microsoft.com/office/drawing/2014/main" id="{2BF1C80F-CFF2-462F-873D-25075C1A061C}"/>
            </a:ext>
          </a:extLst>
        </xdr:cNvPr>
        <xdr:cNvSpPr/>
      </xdr:nvSpPr>
      <xdr:spPr>
        <a:xfrm>
          <a:off x="6600825" y="333374"/>
          <a:ext cx="5619750" cy="3438525"/>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u="sng">
              <a:solidFill>
                <a:schemeClr val="lt1"/>
              </a:solidFill>
              <a:effectLst/>
              <a:latin typeface="Arial" panose="020B0604020202020204" pitchFamily="34" charset="0"/>
              <a:ea typeface="+mn-ea"/>
              <a:cs typeface="Arial" panose="020B0604020202020204" pitchFamily="34" charset="0"/>
            </a:rPr>
            <a:t>In</a:t>
          </a:r>
          <a:r>
            <a:rPr lang="en-US" sz="1200" b="1" u="sng" baseline="0">
              <a:solidFill>
                <a:schemeClr val="lt1"/>
              </a:solidFill>
              <a:effectLst/>
              <a:latin typeface="Arial" panose="020B0604020202020204" pitchFamily="34" charset="0"/>
              <a:ea typeface="+mn-ea"/>
              <a:cs typeface="Arial" panose="020B0604020202020204" pitchFamily="34" charset="0"/>
            </a:rPr>
            <a:t> Analysis Recommendation</a:t>
          </a:r>
        </a:p>
        <a:p>
          <a:pPr marL="0" marR="0" lvl="0" indent="0" algn="l" defTabSz="914400" eaLnBrk="1" fontAlgn="auto" latinLnBrk="0" hangingPunct="1">
            <a:lnSpc>
              <a:spcPct val="100000"/>
            </a:lnSpc>
            <a:spcBef>
              <a:spcPts val="0"/>
            </a:spcBef>
            <a:spcAft>
              <a:spcPts val="0"/>
            </a:spcAft>
            <a:buClrTx/>
            <a:buSzTx/>
            <a:buFontTx/>
            <a:buNone/>
            <a:tabLst/>
            <a:defRPr/>
          </a:pPr>
          <a:endParaRPr lang="en-US"/>
        </a:p>
        <a:p>
          <a:r>
            <a:rPr lang="en-US" sz="1200" b="0">
              <a:latin typeface="+mn-lt"/>
              <a:cs typeface="Arial" panose="020B0604020202020204" pitchFamily="34" charset="0"/>
            </a:rPr>
            <a:t>1. </a:t>
          </a:r>
          <a:r>
            <a:rPr lang="en-US" sz="1200" b="0">
              <a:latin typeface="+mn-lt"/>
            </a:rPr>
            <a:t>Prevention over Cure: Conduct root cause analysis (RCA) for high-cost issues.</a:t>
          </a:r>
          <a:r>
            <a:rPr lang="en-US" sz="1200" b="0" baseline="0">
              <a:latin typeface="+mn-lt"/>
            </a:rPr>
            <a:t> </a:t>
          </a:r>
          <a:r>
            <a:rPr lang="en-US" sz="1200" b="0">
              <a:latin typeface="+mn-lt"/>
            </a:rPr>
            <a:t>Enhance software testing before deployment to minimize software failures.</a:t>
          </a:r>
          <a:r>
            <a:rPr lang="en-US" sz="1200" b="0" baseline="0">
              <a:latin typeface="+mn-lt"/>
            </a:rPr>
            <a:t> </a:t>
          </a:r>
          <a:r>
            <a:rPr lang="en-US" sz="1200" b="0">
              <a:latin typeface="+mn-lt"/>
            </a:rPr>
            <a:t>Improve documentation or automated fixes for common sync and network issues.</a:t>
          </a:r>
        </a:p>
        <a:p>
          <a:endParaRPr lang="en-US" sz="1200">
            <a:latin typeface="+mn-lt"/>
          </a:endParaRPr>
        </a:p>
        <a:p>
          <a:r>
            <a:rPr lang="en-US" sz="1200">
              <a:latin typeface="+mn-lt"/>
            </a:rPr>
            <a:t>2. </a:t>
          </a:r>
          <a:r>
            <a:rPr lang="en-US" sz="1200" b="0">
              <a:latin typeface="+mn-lt"/>
            </a:rPr>
            <a:t>Monitor ticket trends around software updates and perform preemptive quality assurance (QA) checks.</a:t>
          </a:r>
          <a:r>
            <a:rPr lang="en-US" sz="1200" b="0" baseline="0">
              <a:latin typeface="+mn-lt"/>
            </a:rPr>
            <a:t> </a:t>
          </a:r>
          <a:r>
            <a:rPr lang="en-US" sz="1200" b="0">
              <a:latin typeface="+mn-lt"/>
            </a:rPr>
            <a:t>Predictive analytics can help anticipate high-ticket days and allocate more support resources accordingly.</a:t>
          </a:r>
        </a:p>
        <a:p>
          <a:endParaRPr lang="en-US" sz="1200" b="0">
            <a:latin typeface="+mn-lt"/>
          </a:endParaRPr>
        </a:p>
        <a:p>
          <a:r>
            <a:rPr lang="en-US" sz="1200" b="0">
              <a:latin typeface="+mn-lt"/>
            </a:rPr>
            <a:t>3. Implement faster resolution mechanisms for urgent issues (e.g., AI-driven chatbots or automated troubleshooting).</a:t>
          </a:r>
        </a:p>
        <a:p>
          <a:r>
            <a:rPr lang="en-US" sz="1200" b="0">
              <a:latin typeface="+mn-lt"/>
            </a:rPr>
            <a:t>Offer interactive guides or video tutorials to reduce confusion-related tickets.</a:t>
          </a:r>
        </a:p>
        <a:p>
          <a:endParaRPr lang="en-US" sz="1200" b="0">
            <a:latin typeface="+mn-lt"/>
          </a:endParaRPr>
        </a:p>
        <a:p>
          <a:r>
            <a:rPr lang="en-US" sz="1200" b="0">
              <a:latin typeface="+mn-lt"/>
            </a:rPr>
            <a:t>4. Develop an automated cache-clearing function in the system.</a:t>
          </a:r>
          <a:r>
            <a:rPr lang="en-US" sz="1200" b="0" baseline="0">
              <a:latin typeface="+mn-lt"/>
            </a:rPr>
            <a:t> </a:t>
          </a:r>
          <a:r>
            <a:rPr lang="en-US" sz="1200" b="0">
              <a:latin typeface="+mn-lt"/>
            </a:rPr>
            <a:t>Identify root causes behind frequent sync failures instead of relying on manual resets.</a:t>
          </a:r>
        </a:p>
        <a:p>
          <a:endParaRPr lang="en-US" sz="1000" b="0"/>
        </a:p>
        <a:p>
          <a:endParaRPr lang="en-US" sz="1000" b="0"/>
        </a:p>
        <a:p>
          <a:endParaRPr lang="en-US" sz="1000"/>
        </a:p>
        <a:p>
          <a:endParaRPr lang="en-US" sz="1000" b="0" u="sng">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438150</xdr:colOff>
      <xdr:row>0</xdr:row>
      <xdr:rowOff>352424</xdr:rowOff>
    </xdr:from>
    <xdr:to>
      <xdr:col>9</xdr:col>
      <xdr:colOff>323850</xdr:colOff>
      <xdr:row>20</xdr:row>
      <xdr:rowOff>123824</xdr:rowOff>
    </xdr:to>
    <xdr:sp macro="" textlink="">
      <xdr:nvSpPr>
        <xdr:cNvPr id="4" name="Rectangle 3">
          <a:extLst>
            <a:ext uri="{FF2B5EF4-FFF2-40B4-BE49-F238E27FC236}">
              <a16:creationId xmlns:a16="http://schemas.microsoft.com/office/drawing/2014/main" id="{0F55D968-EBEC-446B-9A61-14824325E96F}"/>
            </a:ext>
          </a:extLst>
        </xdr:cNvPr>
        <xdr:cNvSpPr/>
      </xdr:nvSpPr>
      <xdr:spPr>
        <a:xfrm>
          <a:off x="438150" y="352424"/>
          <a:ext cx="6105525" cy="4391025"/>
        </a:xfrm>
        <a:prstGeom prst="rect">
          <a:avLst/>
        </a:prstGeom>
        <a:solidFill>
          <a:schemeClr val="accent4">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u="sng">
              <a:solidFill>
                <a:schemeClr val="lt1"/>
              </a:solidFill>
              <a:effectLst/>
              <a:latin typeface="Arial" panose="020B0604020202020204" pitchFamily="34" charset="0"/>
              <a:ea typeface="+mn-ea"/>
              <a:cs typeface="Arial" panose="020B0604020202020204" pitchFamily="34" charset="0"/>
            </a:rPr>
            <a:t>Final Observations </a:t>
          </a:r>
          <a:endParaRPr lang="en-US" sz="1200" b="1" u="sng" baseline="0">
            <a:solidFill>
              <a:schemeClr val="lt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p>
        <a:p>
          <a:pPr algn="l"/>
          <a:r>
            <a:rPr lang="en-US" sz="1200" b="0">
              <a:latin typeface="+mn-lt"/>
              <a:cs typeface="Arial" panose="020B0604020202020204" pitchFamily="34" charset="0"/>
            </a:rPr>
            <a:t>1. </a:t>
          </a:r>
          <a:r>
            <a:rPr lang="en-US" sz="1200" b="1">
              <a:latin typeface="+mn-lt"/>
            </a:rPr>
            <a:t>Foufanni Technologies</a:t>
          </a:r>
          <a:r>
            <a:rPr lang="en-US" sz="1200">
              <a:latin typeface="+mn-lt"/>
            </a:rPr>
            <a:t> has the highest number of tickets (13), followed by </a:t>
          </a:r>
          <a:r>
            <a:rPr lang="en-US" sz="1200" b="1">
              <a:latin typeface="+mn-lt"/>
            </a:rPr>
            <a:t>Hisense Tech (10)</a:t>
          </a:r>
          <a:r>
            <a:rPr lang="en-US" sz="1200">
              <a:latin typeface="+mn-lt"/>
            </a:rPr>
            <a:t> and </a:t>
          </a:r>
          <a:r>
            <a:rPr lang="en-US" sz="1200" b="1">
              <a:latin typeface="+mn-lt"/>
            </a:rPr>
            <a:t>Atech Programs (7)</a:t>
          </a:r>
          <a:r>
            <a:rPr lang="en-US" sz="1200">
              <a:latin typeface="+mn-lt"/>
            </a:rPr>
            <a:t>. This indicates that Foufani Technologies faces the most technical issues.</a:t>
          </a:r>
        </a:p>
        <a:p>
          <a:r>
            <a:rPr lang="en-US" sz="1200" b="0" u="none">
              <a:latin typeface="+mn-lt"/>
              <a:cs typeface="Arial" panose="020B0604020202020204" pitchFamily="34" charset="0"/>
            </a:rPr>
            <a:t>2. </a:t>
          </a:r>
          <a:r>
            <a:rPr lang="en-US" sz="1200">
              <a:latin typeface="+mn-lt"/>
            </a:rPr>
            <a:t>The most common solution is </a:t>
          </a:r>
          <a:r>
            <a:rPr lang="en-US" sz="1200" b="1">
              <a:latin typeface="+mn-lt"/>
            </a:rPr>
            <a:t>"Clear app cache and relog"</a:t>
          </a:r>
          <a:r>
            <a:rPr lang="en-US" sz="1200">
              <a:latin typeface="+mn-lt"/>
            </a:rPr>
            <a:t> (4 times), followed by </a:t>
          </a:r>
          <a:r>
            <a:rPr lang="en-US" sz="1200" b="1">
              <a:latin typeface="+mn-lt"/>
            </a:rPr>
            <a:t>"Force Full Sync on both devices"</a:t>
          </a:r>
          <a:r>
            <a:rPr lang="en-US" sz="1200">
              <a:latin typeface="+mn-lt"/>
            </a:rPr>
            <a:t> and </a:t>
          </a:r>
          <a:r>
            <a:rPr lang="en-US" sz="1200" b="1">
              <a:latin typeface="+mn-lt"/>
            </a:rPr>
            <a:t>"Reset sync token manually"</a:t>
          </a:r>
          <a:r>
            <a:rPr lang="en-US" sz="1200">
              <a:latin typeface="+mn-lt"/>
            </a:rPr>
            <a:t> (3 times each).</a:t>
          </a:r>
          <a:r>
            <a:rPr lang="en-US" sz="1200" baseline="0">
              <a:latin typeface="+mn-lt"/>
            </a:rPr>
            <a:t> </a:t>
          </a:r>
          <a:r>
            <a:rPr lang="en-US" sz="1200">
              <a:latin typeface="+mn-lt"/>
            </a:rPr>
            <a:t>Many issues seem to be related to syncing and cache management.</a:t>
          </a:r>
        </a:p>
        <a:p>
          <a:r>
            <a:rPr lang="en-US" sz="1200">
              <a:latin typeface="+mn-lt"/>
            </a:rPr>
            <a:t>3. The number of tickets fluctuates over time, with a peak at </a:t>
          </a:r>
          <a:r>
            <a:rPr lang="en-US" sz="1200" b="1">
              <a:latin typeface="+mn-lt"/>
            </a:rPr>
            <a:t>9 tickets on March 13</a:t>
          </a:r>
          <a:r>
            <a:rPr lang="en-US" sz="1200">
              <a:latin typeface="+mn-lt"/>
            </a:rPr>
            <a:t> and a decline to </a:t>
          </a:r>
          <a:r>
            <a:rPr lang="en-US" sz="1200" b="1">
              <a:latin typeface="+mn-lt"/>
            </a:rPr>
            <a:t>4 tickets on March 17</a:t>
          </a:r>
          <a:r>
            <a:rPr lang="en-US" sz="1200">
              <a:latin typeface="+mn-lt"/>
            </a:rPr>
            <a:t>.</a:t>
          </a:r>
          <a:r>
            <a:rPr lang="en-US" sz="1200" baseline="0">
              <a:latin typeface="+mn-lt"/>
            </a:rPr>
            <a:t> </a:t>
          </a:r>
          <a:r>
            <a:rPr lang="en-US" sz="1200">
              <a:latin typeface="+mn-lt"/>
            </a:rPr>
            <a:t>This suggests there may be specific days when technical issues spike, possibly due to system updates or higher user activity.</a:t>
          </a:r>
        </a:p>
        <a:p>
          <a:r>
            <a:rPr lang="en-US" sz="1200">
              <a:latin typeface="+mn-lt"/>
            </a:rPr>
            <a:t>4. There is an even distribution of </a:t>
          </a:r>
          <a:r>
            <a:rPr lang="en-US" sz="1200" b="1">
              <a:latin typeface="+mn-lt"/>
            </a:rPr>
            <a:t>Critical (11), High (11), and Medium (8)</a:t>
          </a:r>
          <a:r>
            <a:rPr lang="en-US" sz="1200">
              <a:latin typeface="+mn-lt"/>
            </a:rPr>
            <a:t> priority issues.</a:t>
          </a:r>
          <a:r>
            <a:rPr lang="en-US" sz="1200" baseline="0">
              <a:latin typeface="+mn-lt"/>
            </a:rPr>
            <a:t> </a:t>
          </a:r>
          <a:r>
            <a:rPr lang="en-US" sz="1200">
              <a:latin typeface="+mn-lt"/>
            </a:rPr>
            <a:t>A substantial number of tickets are classified as high or critical, highlighting the need for urgent attention.</a:t>
          </a:r>
        </a:p>
        <a:p>
          <a:r>
            <a:rPr lang="en-US" sz="1200">
              <a:latin typeface="+mn-lt"/>
            </a:rPr>
            <a:t>5. </a:t>
          </a:r>
          <a:r>
            <a:rPr lang="en-US" sz="1200" b="1">
              <a:latin typeface="+mn-lt"/>
            </a:rPr>
            <a:t>Foufanni Technologies resolved 13 tickets</a:t>
          </a:r>
          <a:r>
            <a:rPr lang="en-US" sz="1200">
              <a:latin typeface="+mn-lt"/>
            </a:rPr>
            <a:t>, </a:t>
          </a:r>
          <a:r>
            <a:rPr lang="en-US" sz="1200" b="1">
              <a:latin typeface="+mn-lt"/>
            </a:rPr>
            <a:t>Hisense Tech resolved 10</a:t>
          </a:r>
          <a:r>
            <a:rPr lang="en-US" sz="1200">
              <a:latin typeface="+mn-lt"/>
            </a:rPr>
            <a:t>, and </a:t>
          </a:r>
          <a:r>
            <a:rPr lang="en-US" sz="1200" b="1">
              <a:latin typeface="+mn-lt"/>
            </a:rPr>
            <a:t>Atech Programs resolved 7</a:t>
          </a:r>
          <a:r>
            <a:rPr lang="en-US" sz="1200">
              <a:latin typeface="+mn-lt"/>
            </a:rPr>
            <a:t>.</a:t>
          </a:r>
          <a:r>
            <a:rPr lang="en-US" sz="1200" baseline="0">
              <a:latin typeface="+mn-lt"/>
            </a:rPr>
            <a:t> </a:t>
          </a:r>
          <a:r>
            <a:rPr lang="en-US" sz="1200">
              <a:latin typeface="+mn-lt"/>
            </a:rPr>
            <a:t>The resolution rate appears efficient, but the volume of tickets suggests a need for proactive issue mitigation.</a:t>
          </a:r>
        </a:p>
        <a:p>
          <a:r>
            <a:rPr lang="en-US" sz="1200">
              <a:latin typeface="+mn-lt"/>
            </a:rPr>
            <a:t>6. The </a:t>
          </a:r>
          <a:r>
            <a:rPr lang="en-US" sz="1200" b="1">
              <a:latin typeface="+mn-lt"/>
            </a:rPr>
            <a:t>total cost of issues is $2,022</a:t>
          </a:r>
          <a:r>
            <a:rPr lang="en-US" sz="1200">
              <a:latin typeface="+mn-lt"/>
            </a:rPr>
            <a:t>, which is substantial.</a:t>
          </a:r>
        </a:p>
        <a:p>
          <a:r>
            <a:rPr lang="en-US" sz="1200">
              <a:latin typeface="+mn-lt"/>
            </a:rPr>
            <a:t>7. </a:t>
          </a:r>
          <a:r>
            <a:rPr lang="en-US" sz="1200" b="1">
              <a:latin typeface="+mn-lt"/>
            </a:rPr>
            <a:t>Urgent and frustrated tickets</a:t>
          </a:r>
          <a:r>
            <a:rPr lang="en-US" sz="1200">
              <a:latin typeface="+mn-lt"/>
            </a:rPr>
            <a:t> (each 23.33%) are the most common, indicating that a significant portion of users experience high levels of distress.</a:t>
          </a:r>
          <a:r>
            <a:rPr lang="en-US" sz="1200" baseline="0">
              <a:latin typeface="+mn-lt"/>
            </a:rPr>
            <a:t> </a:t>
          </a:r>
          <a:r>
            <a:rPr lang="en-US" sz="1200" b="1">
              <a:latin typeface="+mn-lt"/>
            </a:rPr>
            <a:t>Anxious and annoyed</a:t>
          </a:r>
          <a:r>
            <a:rPr lang="en-US" sz="1200">
              <a:latin typeface="+mn-lt"/>
            </a:rPr>
            <a:t> users account for about 16.67% each, suggesting that response time and resolution quality may need improvement.</a:t>
          </a:r>
        </a:p>
        <a:p>
          <a:endParaRPr lang="en-US" sz="1000"/>
        </a:p>
        <a:p>
          <a:endParaRPr lang="en-US" sz="1000"/>
        </a:p>
        <a:p>
          <a:endParaRPr lang="en-US" sz="1000"/>
        </a:p>
        <a:p>
          <a:endParaRPr lang="en-US" sz="1000"/>
        </a:p>
        <a:p>
          <a:pPr algn="l"/>
          <a:endParaRPr lang="en-US" sz="1000" b="0" u="none">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xdr:txBody>
    </xdr:sp>
    <xdr:clientData/>
  </xdr:twoCellAnchor>
  <xdr:twoCellAnchor>
    <xdr:from>
      <xdr:col>9</xdr:col>
      <xdr:colOff>409575</xdr:colOff>
      <xdr:row>0</xdr:row>
      <xdr:rowOff>342899</xdr:rowOff>
    </xdr:from>
    <xdr:to>
      <xdr:col>19</xdr:col>
      <xdr:colOff>419100</xdr:colOff>
      <xdr:row>20</xdr:row>
      <xdr:rowOff>114299</xdr:rowOff>
    </xdr:to>
    <xdr:sp macro="" textlink="">
      <xdr:nvSpPr>
        <xdr:cNvPr id="5" name="Rectangle 4">
          <a:extLst>
            <a:ext uri="{FF2B5EF4-FFF2-40B4-BE49-F238E27FC236}">
              <a16:creationId xmlns:a16="http://schemas.microsoft.com/office/drawing/2014/main" id="{E8D38D85-7B4E-4491-92E2-B33E5EDC1DFB}"/>
            </a:ext>
          </a:extLst>
        </xdr:cNvPr>
        <xdr:cNvSpPr/>
      </xdr:nvSpPr>
      <xdr:spPr>
        <a:xfrm>
          <a:off x="6629400" y="342899"/>
          <a:ext cx="6105525" cy="4391025"/>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u="sng">
              <a:solidFill>
                <a:schemeClr val="lt1"/>
              </a:solidFill>
              <a:effectLst/>
              <a:latin typeface="Arial" panose="020B0604020202020204" pitchFamily="34" charset="0"/>
              <a:ea typeface="+mn-ea"/>
              <a:cs typeface="Arial" panose="020B0604020202020204" pitchFamily="34" charset="0"/>
            </a:rPr>
            <a:t>Final Recommendations</a:t>
          </a:r>
          <a:endParaRPr lang="en-US" sz="1200" b="1" u="sng" baseline="0">
            <a:solidFill>
              <a:schemeClr val="lt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p>
        <a:p>
          <a:pPr algn="l"/>
          <a:r>
            <a:rPr lang="en-US" sz="1200" b="0">
              <a:latin typeface="+mn-lt"/>
              <a:cs typeface="Arial" panose="020B0604020202020204" pitchFamily="34" charset="0"/>
            </a:rPr>
            <a:t>1. </a:t>
          </a:r>
          <a:r>
            <a:rPr lang="en-US" sz="1200"/>
            <a:t>Since </a:t>
          </a:r>
          <a:r>
            <a:rPr lang="en-US" sz="1200" b="1"/>
            <a:t>Software Installation Failures, Account Sync Bugs, and Network Connectivity Issues</a:t>
          </a:r>
          <a:r>
            <a:rPr lang="en-US" sz="1200"/>
            <a:t> contribute most to costs, efforts should focus on reducing these problems through better testing and preemptive troubleshooting.</a:t>
          </a:r>
        </a:p>
        <a:p>
          <a:r>
            <a:rPr lang="en-US" sz="1200"/>
            <a:t>2. </a:t>
          </a:r>
          <a:r>
            <a:rPr lang="en-US" sz="1200" b="1"/>
            <a:t>Frequent solutions</a:t>
          </a:r>
          <a:r>
            <a:rPr lang="en-US" sz="1200"/>
            <a:t> (clearing cache, full sync, resetting tokens) suggest recurring issues.</a:t>
          </a:r>
          <a:r>
            <a:rPr lang="en-US" sz="1200" baseline="0"/>
            <a:t> </a:t>
          </a:r>
          <a:r>
            <a:rPr lang="en-US" sz="1200"/>
            <a:t>Work on </a:t>
          </a:r>
          <a:r>
            <a:rPr lang="en-US" sz="1200" b="1"/>
            <a:t>permanent fixes</a:t>
          </a:r>
          <a:r>
            <a:rPr lang="en-US" sz="1200"/>
            <a:t> rather than temporary workarounds.</a:t>
          </a:r>
        </a:p>
        <a:p>
          <a:r>
            <a:rPr lang="en-US" sz="1200"/>
            <a:t>3. </a:t>
          </a:r>
          <a:r>
            <a:rPr lang="en-US" sz="1200" b="1"/>
            <a:t>Foufanni Technologies has the highest volume of tickets</a:t>
          </a:r>
          <a:r>
            <a:rPr lang="en-US" sz="1200"/>
            <a:t>, indicating they need additional support.</a:t>
          </a:r>
          <a:r>
            <a:rPr lang="en-US" sz="1200" baseline="0"/>
            <a:t> </a:t>
          </a:r>
          <a:r>
            <a:rPr lang="en-US" sz="1200"/>
            <a:t>Assign </a:t>
          </a:r>
          <a:r>
            <a:rPr lang="en-US" sz="1200" b="1"/>
            <a:t>dedicated support resources</a:t>
          </a:r>
          <a:r>
            <a:rPr lang="en-US" sz="1200"/>
            <a:t> to this client or </a:t>
          </a:r>
          <a:r>
            <a:rPr lang="en-US" sz="1200" b="1"/>
            <a:t>train their teams</a:t>
          </a:r>
          <a:r>
            <a:rPr lang="en-US" sz="1200"/>
            <a:t> on self-resolution strategies.</a:t>
          </a:r>
        </a:p>
        <a:p>
          <a:r>
            <a:rPr lang="en-US" sz="1200"/>
            <a:t>4. Since </a:t>
          </a:r>
          <a:r>
            <a:rPr lang="en-US" sz="1200" b="1"/>
            <a:t>March 13 was the most effective resolution day</a:t>
          </a:r>
          <a:r>
            <a:rPr lang="en-US" sz="1200"/>
            <a:t>, analyze what worked well and replicate those strategies on other high-ticket days.</a:t>
          </a:r>
        </a:p>
        <a:p>
          <a:r>
            <a:rPr lang="en-US" sz="1200"/>
            <a:t>5. Given the high number of </a:t>
          </a:r>
          <a:r>
            <a:rPr lang="en-US" sz="1200" b="1"/>
            <a:t>frustrated and urgent</a:t>
          </a:r>
          <a:r>
            <a:rPr lang="en-US" sz="1200"/>
            <a:t> tickets, consider implementing:</a:t>
          </a:r>
          <a:r>
            <a:rPr lang="en-US" sz="1200" baseline="0"/>
            <a:t> </a:t>
          </a:r>
          <a:r>
            <a:rPr lang="en-US" sz="1200" b="0"/>
            <a:t>Faster response times,</a:t>
          </a:r>
          <a:r>
            <a:rPr lang="en-US" sz="1200" b="0" baseline="0"/>
            <a:t> p</a:t>
          </a:r>
          <a:r>
            <a:rPr lang="en-US" sz="1200" b="0"/>
            <a:t>roactive issue detection,</a:t>
          </a:r>
          <a:r>
            <a:rPr lang="en-US" sz="1200" b="0" baseline="0"/>
            <a:t> b</a:t>
          </a:r>
          <a:r>
            <a:rPr lang="en-US" sz="1200" b="0"/>
            <a:t>etter documentation and user guides to minimize user confusion</a:t>
          </a:r>
          <a:r>
            <a:rPr lang="en-US" sz="1200"/>
            <a:t>.</a:t>
          </a:r>
        </a:p>
        <a:p>
          <a:r>
            <a:rPr lang="en-US" sz="1200"/>
            <a:t>6. Since March 13 saw the highest number of tickets, investigate whether:</a:t>
          </a:r>
          <a:r>
            <a:rPr lang="en-US" sz="1200" baseline="0"/>
            <a:t> </a:t>
          </a:r>
          <a:r>
            <a:rPr lang="en-US" sz="1200"/>
            <a:t>A system update was released around that date,</a:t>
          </a:r>
          <a:r>
            <a:rPr lang="en-US" sz="1200" baseline="0"/>
            <a:t> </a:t>
          </a:r>
          <a:r>
            <a:rPr lang="en-US" sz="1200"/>
            <a:t>External factors (e.g., high traffic, maintenance) contributed to the spike.</a:t>
          </a:r>
        </a:p>
        <a:p>
          <a:r>
            <a:rPr lang="en-US" sz="1200"/>
            <a:t>7. Adjust system updates or customer support staffing accordingly.</a:t>
          </a:r>
        </a:p>
        <a:p>
          <a:endParaRPr lang="en-US" sz="1000"/>
        </a:p>
        <a:p>
          <a:endParaRPr lang="en-US" sz="1000"/>
        </a:p>
        <a:p>
          <a:endParaRPr lang="en-US" sz="1000"/>
        </a:p>
        <a:p>
          <a:pPr algn="l"/>
          <a:endParaRPr lang="en-US" sz="1000"/>
        </a:p>
        <a:p>
          <a:endParaRPr lang="en-US" sz="1000"/>
        </a:p>
        <a:p>
          <a:endParaRPr lang="en-US" sz="1000"/>
        </a:p>
        <a:p>
          <a:endParaRPr lang="en-US" sz="1000"/>
        </a:p>
        <a:p>
          <a:pPr algn="l"/>
          <a:endParaRPr lang="en-US" sz="1000" b="0" u="none">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a:p>
          <a:pPr algn="l"/>
          <a:endParaRPr lang="en-US" sz="1000" b="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219074</xdr:colOff>
      <xdr:row>5</xdr:row>
      <xdr:rowOff>66675</xdr:rowOff>
    </xdr:from>
    <xdr:to>
      <xdr:col>13</xdr:col>
      <xdr:colOff>38100</xdr:colOff>
      <xdr:row>20</xdr:row>
      <xdr:rowOff>85725</xdr:rowOff>
    </xdr:to>
    <xdr:graphicFrame macro="">
      <xdr:nvGraphicFramePr>
        <xdr:cNvPr id="2" name="Chart 1">
          <a:extLst>
            <a:ext uri="{FF2B5EF4-FFF2-40B4-BE49-F238E27FC236}">
              <a16:creationId xmlns:a16="http://schemas.microsoft.com/office/drawing/2014/main" id="{D5047E86-B698-4EFC-8233-2644B3AE5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147636</xdr:colOff>
      <xdr:row>5</xdr:row>
      <xdr:rowOff>28575</xdr:rowOff>
    </xdr:from>
    <xdr:to>
      <xdr:col>14</xdr:col>
      <xdr:colOff>361949</xdr:colOff>
      <xdr:row>19</xdr:row>
      <xdr:rowOff>104775</xdr:rowOff>
    </xdr:to>
    <xdr:graphicFrame macro="">
      <xdr:nvGraphicFramePr>
        <xdr:cNvPr id="2" name="Chart 1">
          <a:extLst>
            <a:ext uri="{FF2B5EF4-FFF2-40B4-BE49-F238E27FC236}">
              <a16:creationId xmlns:a16="http://schemas.microsoft.com/office/drawing/2014/main" id="{FDE68AED-05B7-494C-8D65-DB87EBB59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95249</xdr:colOff>
      <xdr:row>5</xdr:row>
      <xdr:rowOff>28575</xdr:rowOff>
    </xdr:from>
    <xdr:to>
      <xdr:col>10</xdr:col>
      <xdr:colOff>190500</xdr:colOff>
      <xdr:row>18</xdr:row>
      <xdr:rowOff>95250</xdr:rowOff>
    </xdr:to>
    <xdr:graphicFrame macro="">
      <xdr:nvGraphicFramePr>
        <xdr:cNvPr id="2" name="Chart 1">
          <a:extLst>
            <a:ext uri="{FF2B5EF4-FFF2-40B4-BE49-F238E27FC236}">
              <a16:creationId xmlns:a16="http://schemas.microsoft.com/office/drawing/2014/main" id="{3DA3E082-DC1F-4AD5-9AD7-281FD2434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147637</xdr:colOff>
      <xdr:row>5</xdr:row>
      <xdr:rowOff>28575</xdr:rowOff>
    </xdr:from>
    <xdr:to>
      <xdr:col>10</xdr:col>
      <xdr:colOff>452437</xdr:colOff>
      <xdr:row>19</xdr:row>
      <xdr:rowOff>104775</xdr:rowOff>
    </xdr:to>
    <xdr:graphicFrame macro="">
      <xdr:nvGraphicFramePr>
        <xdr:cNvPr id="2" name="Chart 1">
          <a:extLst>
            <a:ext uri="{FF2B5EF4-FFF2-40B4-BE49-F238E27FC236}">
              <a16:creationId xmlns:a16="http://schemas.microsoft.com/office/drawing/2014/main" id="{A60CFAC1-6F03-4F42-AF9C-9791F63C2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304799</xdr:colOff>
      <xdr:row>4</xdr:row>
      <xdr:rowOff>114299</xdr:rowOff>
    </xdr:from>
    <xdr:to>
      <xdr:col>16</xdr:col>
      <xdr:colOff>161924</xdr:colOff>
      <xdr:row>20</xdr:row>
      <xdr:rowOff>28574</xdr:rowOff>
    </xdr:to>
    <xdr:graphicFrame macro="">
      <xdr:nvGraphicFramePr>
        <xdr:cNvPr id="4" name="Chart 3">
          <a:extLst>
            <a:ext uri="{FF2B5EF4-FFF2-40B4-BE49-F238E27FC236}">
              <a16:creationId xmlns:a16="http://schemas.microsoft.com/office/drawing/2014/main" id="{32D7B69A-9063-4420-BA86-93AA47B84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304799</xdr:colOff>
      <xdr:row>5</xdr:row>
      <xdr:rowOff>19049</xdr:rowOff>
    </xdr:from>
    <xdr:to>
      <xdr:col>16</xdr:col>
      <xdr:colOff>161924</xdr:colOff>
      <xdr:row>20</xdr:row>
      <xdr:rowOff>123824</xdr:rowOff>
    </xdr:to>
    <xdr:graphicFrame macro="">
      <xdr:nvGraphicFramePr>
        <xdr:cNvPr id="2" name="Chart 1">
          <a:extLst>
            <a:ext uri="{FF2B5EF4-FFF2-40B4-BE49-F238E27FC236}">
              <a16:creationId xmlns:a16="http://schemas.microsoft.com/office/drawing/2014/main" id="{0E5D0CE1-236D-422A-91BF-A1190F964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321067</xdr:colOff>
      <xdr:row>5</xdr:row>
      <xdr:rowOff>19049</xdr:rowOff>
    </xdr:from>
    <xdr:to>
      <xdr:col>14</xdr:col>
      <xdr:colOff>278258</xdr:colOff>
      <xdr:row>19</xdr:row>
      <xdr:rowOff>42809</xdr:rowOff>
    </xdr:to>
    <xdr:graphicFrame macro="">
      <xdr:nvGraphicFramePr>
        <xdr:cNvPr id="2" name="Chart 1">
          <a:extLst>
            <a:ext uri="{FF2B5EF4-FFF2-40B4-BE49-F238E27FC236}">
              <a16:creationId xmlns:a16="http://schemas.microsoft.com/office/drawing/2014/main" id="{61DDAD43-FB19-4458-A479-D0D6A97ED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105833</xdr:colOff>
      <xdr:row>0</xdr:row>
      <xdr:rowOff>52093</xdr:rowOff>
    </xdr:from>
    <xdr:to>
      <xdr:col>21</xdr:col>
      <xdr:colOff>381000</xdr:colOff>
      <xdr:row>2</xdr:row>
      <xdr:rowOff>105833</xdr:rowOff>
    </xdr:to>
    <xdr:sp macro="" textlink="">
      <xdr:nvSpPr>
        <xdr:cNvPr id="2" name="Rectangle: Rounded Corners 1">
          <a:extLst>
            <a:ext uri="{FF2B5EF4-FFF2-40B4-BE49-F238E27FC236}">
              <a16:creationId xmlns:a16="http://schemas.microsoft.com/office/drawing/2014/main" id="{6F708F70-E18E-4C94-BE4F-5012A7E93DDE}"/>
            </a:ext>
          </a:extLst>
        </xdr:cNvPr>
        <xdr:cNvSpPr/>
      </xdr:nvSpPr>
      <xdr:spPr>
        <a:xfrm>
          <a:off x="105833" y="52093"/>
          <a:ext cx="13116278" cy="430036"/>
        </a:xfrm>
        <a:prstGeom prst="round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JEROID.NG</a:t>
          </a:r>
          <a:r>
            <a:rPr lang="en-US" sz="2400" b="1" baseline="0"/>
            <a:t> HISTORICAL TICKET DATA REPORT FOR THE YEAR 2024</a:t>
          </a:r>
          <a:endParaRPr lang="en-US" sz="2400" b="1"/>
        </a:p>
      </xdr:txBody>
    </xdr:sp>
    <xdr:clientData/>
  </xdr:twoCellAnchor>
  <xdr:twoCellAnchor>
    <xdr:from>
      <xdr:col>2</xdr:col>
      <xdr:colOff>552451</xdr:colOff>
      <xdr:row>2</xdr:row>
      <xdr:rowOff>164629</xdr:rowOff>
    </xdr:from>
    <xdr:to>
      <xdr:col>12</xdr:col>
      <xdr:colOff>0</xdr:colOff>
      <xdr:row>15</xdr:row>
      <xdr:rowOff>23518</xdr:rowOff>
    </xdr:to>
    <xdr:graphicFrame macro="">
      <xdr:nvGraphicFramePr>
        <xdr:cNvPr id="3" name="Chart 2">
          <a:extLst>
            <a:ext uri="{FF2B5EF4-FFF2-40B4-BE49-F238E27FC236}">
              <a16:creationId xmlns:a16="http://schemas.microsoft.com/office/drawing/2014/main" id="{9B9B1121-601D-4D60-BAE2-E86B457F1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285751</xdr:colOff>
      <xdr:row>15</xdr:row>
      <xdr:rowOff>114887</xdr:rowOff>
    </xdr:from>
    <xdr:to>
      <xdr:col>15</xdr:col>
      <xdr:colOff>542925</xdr:colOff>
      <xdr:row>27</xdr:row>
      <xdr:rowOff>58796</xdr:rowOff>
    </xdr:to>
    <xdr:graphicFrame macro="">
      <xdr:nvGraphicFramePr>
        <xdr:cNvPr id="4" name="Chart 3">
          <a:extLst>
            <a:ext uri="{FF2B5EF4-FFF2-40B4-BE49-F238E27FC236}">
              <a16:creationId xmlns:a16="http://schemas.microsoft.com/office/drawing/2014/main" id="{806A3012-8374-401C-BCB3-BC4DE572A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552449</xdr:colOff>
      <xdr:row>15</xdr:row>
      <xdr:rowOff>114890</xdr:rowOff>
    </xdr:from>
    <xdr:to>
      <xdr:col>8</xdr:col>
      <xdr:colOff>190500</xdr:colOff>
      <xdr:row>27</xdr:row>
      <xdr:rowOff>58796</xdr:rowOff>
    </xdr:to>
    <xdr:graphicFrame macro="">
      <xdr:nvGraphicFramePr>
        <xdr:cNvPr id="5" name="Chart 4">
          <a:extLst>
            <a:ext uri="{FF2B5EF4-FFF2-40B4-BE49-F238E27FC236}">
              <a16:creationId xmlns:a16="http://schemas.microsoft.com/office/drawing/2014/main" id="{34331623-4358-4179-BA0A-A20BB0BB5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95251</xdr:colOff>
      <xdr:row>2</xdr:row>
      <xdr:rowOff>176389</xdr:rowOff>
    </xdr:from>
    <xdr:to>
      <xdr:col>21</xdr:col>
      <xdr:colOff>361951</xdr:colOff>
      <xdr:row>15</xdr:row>
      <xdr:rowOff>23518</xdr:rowOff>
    </xdr:to>
    <xdr:graphicFrame macro="">
      <xdr:nvGraphicFramePr>
        <xdr:cNvPr id="6" name="Chart 5">
          <a:extLst>
            <a:ext uri="{FF2B5EF4-FFF2-40B4-BE49-F238E27FC236}">
              <a16:creationId xmlns:a16="http://schemas.microsoft.com/office/drawing/2014/main" id="{BFFE8D77-B7B3-4AB1-A946-EC2C9BE35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28575</xdr:colOff>
      <xdr:row>15</xdr:row>
      <xdr:rowOff>114888</xdr:rowOff>
    </xdr:from>
    <xdr:to>
      <xdr:col>21</xdr:col>
      <xdr:colOff>371475</xdr:colOff>
      <xdr:row>27</xdr:row>
      <xdr:rowOff>58796</xdr:rowOff>
    </xdr:to>
    <xdr:graphicFrame macro="">
      <xdr:nvGraphicFramePr>
        <xdr:cNvPr id="7" name="Chart 6">
          <a:extLst>
            <a:ext uri="{FF2B5EF4-FFF2-40B4-BE49-F238E27FC236}">
              <a16:creationId xmlns:a16="http://schemas.microsoft.com/office/drawing/2014/main" id="{4467E940-D3B1-4308-ACE4-AC63E3759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540692</xdr:colOff>
      <xdr:row>27</xdr:row>
      <xdr:rowOff>164630</xdr:rowOff>
    </xdr:from>
    <xdr:to>
      <xdr:col>13</xdr:col>
      <xdr:colOff>359716</xdr:colOff>
      <xdr:row>40</xdr:row>
      <xdr:rowOff>24107</xdr:rowOff>
    </xdr:to>
    <xdr:graphicFrame macro="">
      <xdr:nvGraphicFramePr>
        <xdr:cNvPr id="8" name="Chart 7">
          <a:extLst>
            <a:ext uri="{FF2B5EF4-FFF2-40B4-BE49-F238E27FC236}">
              <a16:creationId xmlns:a16="http://schemas.microsoft.com/office/drawing/2014/main" id="{92E0AF9F-B090-4BAC-AEFA-669E1DBDE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466725</xdr:colOff>
      <xdr:row>27</xdr:row>
      <xdr:rowOff>164630</xdr:rowOff>
    </xdr:from>
    <xdr:to>
      <xdr:col>21</xdr:col>
      <xdr:colOff>381000</xdr:colOff>
      <xdr:row>40</xdr:row>
      <xdr:rowOff>24107</xdr:rowOff>
    </xdr:to>
    <xdr:graphicFrame macro="">
      <xdr:nvGraphicFramePr>
        <xdr:cNvPr id="9" name="Chart 8">
          <a:extLst>
            <a:ext uri="{FF2B5EF4-FFF2-40B4-BE49-F238E27FC236}">
              <a16:creationId xmlns:a16="http://schemas.microsoft.com/office/drawing/2014/main" id="{8D5EBDFF-B4DF-4F98-9CA8-CF763792B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452169</xdr:colOff>
      <xdr:row>0</xdr:row>
      <xdr:rowOff>47086</xdr:rowOff>
    </xdr:from>
    <xdr:to>
      <xdr:col>24</xdr:col>
      <xdr:colOff>188702</xdr:colOff>
      <xdr:row>7</xdr:row>
      <xdr:rowOff>26958</xdr:rowOff>
    </xdr:to>
    <mc:AlternateContent xmlns:mc="http://schemas.openxmlformats.org/markup-compatibility/2006">
      <mc:Choice xmlns:a14="http://schemas.microsoft.com/office/drawing/2010/main" Requires="a14">
        <xdr:graphicFrame macro="">
          <xdr:nvGraphicFramePr>
            <xdr:cNvPr id="10" name="Name of Company ">
              <a:extLst>
                <a:ext uri="{FF2B5EF4-FFF2-40B4-BE49-F238E27FC236}">
                  <a16:creationId xmlns:a16="http://schemas.microsoft.com/office/drawing/2014/main" id="{AA834176-9613-45C1-9DC6-C83BFEBD30D4}"/>
                </a:ext>
              </a:extLst>
            </xdr:cNvPr>
            <xdr:cNvGraphicFramePr/>
          </xdr:nvGraphicFramePr>
          <xdr:xfrm>
            <a:off x="0" y="0"/>
            <a:ext cx="0" cy="0"/>
          </xdr:xfrm>
          <a:graphic>
            <a:graphicData uri="http://schemas.microsoft.com/office/drawing/2010/slicer">
              <sle:slicer xmlns:sle="http://schemas.microsoft.com/office/drawing/2010/slicer" name="Name of Company "/>
            </a:graphicData>
          </a:graphic>
        </xdr:graphicFrame>
      </mc:Choice>
      <mc:Fallback>
        <xdr:sp macro="" textlink="">
          <xdr:nvSpPr>
            <xdr:cNvPr id="0" name=""/>
            <xdr:cNvSpPr>
              <a:spLocks noTextEdit="1"/>
            </xdr:cNvSpPr>
          </xdr:nvSpPr>
          <xdr:spPr>
            <a:xfrm>
              <a:off x="13293280" y="47086"/>
              <a:ext cx="1570978" cy="1296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450730</xdr:colOff>
      <xdr:row>7</xdr:row>
      <xdr:rowOff>118973</xdr:rowOff>
    </xdr:from>
    <xdr:to>
      <xdr:col>24</xdr:col>
      <xdr:colOff>188702</xdr:colOff>
      <xdr:row>17</xdr:row>
      <xdr:rowOff>17973</xdr:rowOff>
    </xdr:to>
    <mc:AlternateContent xmlns:mc="http://schemas.openxmlformats.org/markup-compatibility/2006">
      <mc:Choice xmlns:a14="http://schemas.microsoft.com/office/drawing/2010/main" Requires="a14">
        <xdr:graphicFrame macro="">
          <xdr:nvGraphicFramePr>
            <xdr:cNvPr id="11" name=" Issue Category">
              <a:extLst>
                <a:ext uri="{FF2B5EF4-FFF2-40B4-BE49-F238E27FC236}">
                  <a16:creationId xmlns:a16="http://schemas.microsoft.com/office/drawing/2014/main" id="{19771F91-0C71-43D8-AE88-8338927511A4}"/>
                </a:ext>
              </a:extLst>
            </xdr:cNvPr>
            <xdr:cNvGraphicFramePr/>
          </xdr:nvGraphicFramePr>
          <xdr:xfrm>
            <a:off x="0" y="0"/>
            <a:ext cx="0" cy="0"/>
          </xdr:xfrm>
          <a:graphic>
            <a:graphicData uri="http://schemas.microsoft.com/office/drawing/2010/slicer">
              <sle:slicer xmlns:sle="http://schemas.microsoft.com/office/drawing/2010/slicer" name=" Issue Category"/>
            </a:graphicData>
          </a:graphic>
        </xdr:graphicFrame>
      </mc:Choice>
      <mc:Fallback>
        <xdr:sp macro="" textlink="">
          <xdr:nvSpPr>
            <xdr:cNvPr id="0" name=""/>
            <xdr:cNvSpPr>
              <a:spLocks noTextEdit="1"/>
            </xdr:cNvSpPr>
          </xdr:nvSpPr>
          <xdr:spPr>
            <a:xfrm>
              <a:off x="13291841" y="1436010"/>
              <a:ext cx="1572417" cy="1780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459717</xdr:colOff>
      <xdr:row>17</xdr:row>
      <xdr:rowOff>113582</xdr:rowOff>
    </xdr:from>
    <xdr:to>
      <xdr:col>24</xdr:col>
      <xdr:colOff>197688</xdr:colOff>
      <xdr:row>24</xdr:row>
      <xdr:rowOff>53915</xdr:rowOff>
    </xdr:to>
    <mc:AlternateContent xmlns:mc="http://schemas.openxmlformats.org/markup-compatibility/2006">
      <mc:Choice xmlns:a14="http://schemas.microsoft.com/office/drawing/2010/main" Requires="a14">
        <xdr:graphicFrame macro="">
          <xdr:nvGraphicFramePr>
            <xdr:cNvPr id="12" name=" Priority">
              <a:extLst>
                <a:ext uri="{FF2B5EF4-FFF2-40B4-BE49-F238E27FC236}">
                  <a16:creationId xmlns:a16="http://schemas.microsoft.com/office/drawing/2014/main" id="{BB5C9A02-310E-4B89-B338-3EE657365DA3}"/>
                </a:ext>
              </a:extLst>
            </xdr:cNvPr>
            <xdr:cNvGraphicFramePr/>
          </xdr:nvGraphicFramePr>
          <xdr:xfrm>
            <a:off x="0" y="0"/>
            <a:ext cx="0" cy="0"/>
          </xdr:xfrm>
          <a:graphic>
            <a:graphicData uri="http://schemas.microsoft.com/office/drawing/2010/slicer">
              <sle:slicer xmlns:sle="http://schemas.microsoft.com/office/drawing/2010/slicer" name=" Priority"/>
            </a:graphicData>
          </a:graphic>
        </xdr:graphicFrame>
      </mc:Choice>
      <mc:Fallback>
        <xdr:sp macro="" textlink="">
          <xdr:nvSpPr>
            <xdr:cNvPr id="0" name=""/>
            <xdr:cNvSpPr>
              <a:spLocks noTextEdit="1"/>
            </xdr:cNvSpPr>
          </xdr:nvSpPr>
          <xdr:spPr>
            <a:xfrm>
              <a:off x="13300828" y="3312101"/>
              <a:ext cx="1572416" cy="1257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468702</xdr:colOff>
      <xdr:row>24</xdr:row>
      <xdr:rowOff>134788</xdr:rowOff>
    </xdr:from>
    <xdr:to>
      <xdr:col>24</xdr:col>
      <xdr:colOff>206674</xdr:colOff>
      <xdr:row>40</xdr:row>
      <xdr:rowOff>35277</xdr:rowOff>
    </xdr:to>
    <mc:AlternateContent xmlns:mc="http://schemas.openxmlformats.org/markup-compatibility/2006">
      <mc:Choice xmlns:a14="http://schemas.microsoft.com/office/drawing/2010/main" Requires="a14">
        <xdr:graphicFrame macro="">
          <xdr:nvGraphicFramePr>
            <xdr:cNvPr id="13" name="Ticket ID">
              <a:extLst>
                <a:ext uri="{FF2B5EF4-FFF2-40B4-BE49-F238E27FC236}">
                  <a16:creationId xmlns:a16="http://schemas.microsoft.com/office/drawing/2014/main" id="{1C489B7C-1A47-48CF-965B-B5FADB6FB864}"/>
                </a:ext>
              </a:extLst>
            </xdr:cNvPr>
            <xdr:cNvGraphicFramePr/>
          </xdr:nvGraphicFramePr>
          <xdr:xfrm>
            <a:off x="0" y="0"/>
            <a:ext cx="0" cy="0"/>
          </xdr:xfrm>
          <a:graphic>
            <a:graphicData uri="http://schemas.microsoft.com/office/drawing/2010/slicer">
              <sle:slicer xmlns:sle="http://schemas.microsoft.com/office/drawing/2010/slicer" name="Ticket ID"/>
            </a:graphicData>
          </a:graphic>
        </xdr:graphicFrame>
      </mc:Choice>
      <mc:Fallback>
        <xdr:sp macro="" textlink="">
          <xdr:nvSpPr>
            <xdr:cNvPr id="0" name=""/>
            <xdr:cNvSpPr>
              <a:spLocks noTextEdit="1"/>
            </xdr:cNvSpPr>
          </xdr:nvSpPr>
          <xdr:spPr>
            <a:xfrm>
              <a:off x="13309813" y="4650344"/>
              <a:ext cx="1572417" cy="2910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82315</xdr:colOff>
      <xdr:row>1</xdr:row>
      <xdr:rowOff>117592</xdr:rowOff>
    </xdr:from>
    <xdr:to>
      <xdr:col>2</xdr:col>
      <xdr:colOff>411572</xdr:colOff>
      <xdr:row>11</xdr:row>
      <xdr:rowOff>164629</xdr:rowOff>
    </xdr:to>
    <xdr:pic>
      <xdr:nvPicPr>
        <xdr:cNvPr id="15" name="Graphic 14" descr="Diamond">
          <a:extLst>
            <a:ext uri="{FF2B5EF4-FFF2-40B4-BE49-F238E27FC236}">
              <a16:creationId xmlns:a16="http://schemas.microsoft.com/office/drawing/2014/main" id="{44C7CFD2-0BC6-4AF5-8AB0-428C9F467F8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82315" y="305740"/>
          <a:ext cx="1552220" cy="1928519"/>
        </a:xfrm>
        <a:prstGeom prst="rect">
          <a:avLst/>
        </a:prstGeom>
      </xdr:spPr>
    </xdr:pic>
    <xdr:clientData/>
  </xdr:twoCellAnchor>
  <xdr:twoCellAnchor>
    <xdr:from>
      <xdr:col>0</xdr:col>
      <xdr:colOff>70556</xdr:colOff>
      <xdr:row>12</xdr:row>
      <xdr:rowOff>11759</xdr:rowOff>
    </xdr:from>
    <xdr:to>
      <xdr:col>2</xdr:col>
      <xdr:colOff>458611</xdr:colOff>
      <xdr:row>19</xdr:row>
      <xdr:rowOff>129352</xdr:rowOff>
    </xdr:to>
    <xdr:sp macro="" textlink="">
      <xdr:nvSpPr>
        <xdr:cNvPr id="16" name="Rectangle: Rounded Corners 15">
          <a:extLst>
            <a:ext uri="{FF2B5EF4-FFF2-40B4-BE49-F238E27FC236}">
              <a16:creationId xmlns:a16="http://schemas.microsoft.com/office/drawing/2014/main" id="{9B2C04E2-DC1C-4DFB-BB37-9AA9B732E1B2}"/>
            </a:ext>
          </a:extLst>
        </xdr:cNvPr>
        <xdr:cNvSpPr/>
      </xdr:nvSpPr>
      <xdr:spPr>
        <a:xfrm>
          <a:off x="70556" y="2269537"/>
          <a:ext cx="1611018" cy="143463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solidFill>
              <a:schemeClr val="accent4">
                <a:lumMod val="50000"/>
              </a:schemeClr>
            </a:solidFill>
          </a:endParaRPr>
        </a:p>
        <a:p>
          <a:pPr algn="l"/>
          <a:endParaRPr lang="en-US" sz="1600" b="1">
            <a:solidFill>
              <a:schemeClr val="accent4">
                <a:lumMod val="50000"/>
              </a:schemeClr>
            </a:solidFill>
          </a:endParaRPr>
        </a:p>
        <a:p>
          <a:pPr algn="l"/>
          <a:r>
            <a:rPr lang="en-US" sz="1600" b="1">
              <a:solidFill>
                <a:schemeClr val="accent4">
                  <a:lumMod val="50000"/>
                </a:schemeClr>
              </a:solidFill>
            </a:rPr>
            <a:t>TOP COMPANY</a:t>
          </a:r>
        </a:p>
        <a:p>
          <a:pPr algn="ctr"/>
          <a:r>
            <a:rPr lang="en-US" sz="1400" b="0">
              <a:solidFill>
                <a:schemeClr val="accent4">
                  <a:lumMod val="50000"/>
                </a:schemeClr>
              </a:solidFill>
            </a:rPr>
            <a:t>Foufani</a:t>
          </a:r>
          <a:r>
            <a:rPr lang="en-US" sz="1400" b="0" baseline="0">
              <a:solidFill>
                <a:schemeClr val="accent4">
                  <a:lumMod val="50000"/>
                </a:schemeClr>
              </a:solidFill>
            </a:rPr>
            <a:t> Technologies</a:t>
          </a:r>
          <a:r>
            <a:rPr lang="en-US" sz="1400" b="0">
              <a:solidFill>
                <a:schemeClr val="accent4">
                  <a:lumMod val="50000"/>
                </a:schemeClr>
              </a:solidFill>
            </a:rPr>
            <a:t> </a:t>
          </a:r>
        </a:p>
      </xdr:txBody>
    </xdr:sp>
    <xdr:clientData/>
  </xdr:twoCellAnchor>
  <xdr:twoCellAnchor editAs="oneCell">
    <xdr:from>
      <xdr:col>1</xdr:col>
      <xdr:colOff>47036</xdr:colOff>
      <xdr:row>12</xdr:row>
      <xdr:rowOff>94072</xdr:rowOff>
    </xdr:from>
    <xdr:to>
      <xdr:col>1</xdr:col>
      <xdr:colOff>552685</xdr:colOff>
      <xdr:row>15</xdr:row>
      <xdr:rowOff>35277</xdr:rowOff>
    </xdr:to>
    <xdr:pic>
      <xdr:nvPicPr>
        <xdr:cNvPr id="18" name="Graphic 17" descr="Building">
          <a:extLst>
            <a:ext uri="{FF2B5EF4-FFF2-40B4-BE49-F238E27FC236}">
              <a16:creationId xmlns:a16="http://schemas.microsoft.com/office/drawing/2014/main" id="{A16EE29B-E2D3-45B9-9D9E-03E2E7B8D31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58517" y="2351850"/>
          <a:ext cx="505649" cy="505649"/>
        </a:xfrm>
        <a:prstGeom prst="rect">
          <a:avLst/>
        </a:prstGeom>
      </xdr:spPr>
    </xdr:pic>
    <xdr:clientData/>
  </xdr:twoCellAnchor>
  <xdr:twoCellAnchor>
    <xdr:from>
      <xdr:col>0</xdr:col>
      <xdr:colOff>70086</xdr:colOff>
      <xdr:row>21</xdr:row>
      <xdr:rowOff>11289</xdr:rowOff>
    </xdr:from>
    <xdr:to>
      <xdr:col>2</xdr:col>
      <xdr:colOff>458141</xdr:colOff>
      <xdr:row>29</xdr:row>
      <xdr:rowOff>105834</xdr:rowOff>
    </xdr:to>
    <xdr:sp macro="" textlink="">
      <xdr:nvSpPr>
        <xdr:cNvPr id="19" name="Rectangle: Rounded Corners 18">
          <a:extLst>
            <a:ext uri="{FF2B5EF4-FFF2-40B4-BE49-F238E27FC236}">
              <a16:creationId xmlns:a16="http://schemas.microsoft.com/office/drawing/2014/main" id="{59EF568E-E074-492F-8928-288114070484}"/>
            </a:ext>
          </a:extLst>
        </xdr:cNvPr>
        <xdr:cNvSpPr/>
      </xdr:nvSpPr>
      <xdr:spPr>
        <a:xfrm>
          <a:off x="70086" y="3962400"/>
          <a:ext cx="1611018" cy="1599730"/>
        </a:xfrm>
        <a:prstGeom prst="roundRect">
          <a:avLst/>
        </a:prstGeom>
        <a:solidFill>
          <a:schemeClr val="accent4">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b="1">
            <a:solidFill>
              <a:schemeClr val="bg1"/>
            </a:solidFill>
          </a:endParaRPr>
        </a:p>
        <a:p>
          <a:pPr algn="ctr"/>
          <a:r>
            <a:rPr lang="en-US" sz="3500" b="1">
              <a:solidFill>
                <a:schemeClr val="bg1"/>
              </a:solidFill>
            </a:rPr>
            <a:t>$2,022</a:t>
          </a:r>
        </a:p>
        <a:p>
          <a:pPr algn="ctr"/>
          <a:r>
            <a:rPr lang="en-US" sz="1400" b="0">
              <a:solidFill>
                <a:schemeClr val="bg1"/>
              </a:solidFill>
            </a:rPr>
            <a:t>TOTAL</a:t>
          </a:r>
          <a:r>
            <a:rPr lang="en-US" sz="1400" b="0" baseline="0">
              <a:solidFill>
                <a:schemeClr val="bg1"/>
              </a:solidFill>
            </a:rPr>
            <a:t> COST</a:t>
          </a:r>
          <a:endParaRPr lang="en-US" sz="1400" b="0">
            <a:solidFill>
              <a:schemeClr val="bg1"/>
            </a:solidFill>
          </a:endParaRPr>
        </a:p>
        <a:p>
          <a:pPr algn="ctr"/>
          <a:r>
            <a:rPr lang="en-US" sz="1400" b="0">
              <a:solidFill>
                <a:schemeClr val="accent4">
                  <a:lumMod val="50000"/>
                </a:schemeClr>
              </a:solidFill>
            </a:rPr>
            <a:t>Foufani</a:t>
          </a:r>
          <a:r>
            <a:rPr lang="en-US" sz="1400" b="0" baseline="0">
              <a:solidFill>
                <a:schemeClr val="accent4">
                  <a:lumMod val="50000"/>
                </a:schemeClr>
              </a:solidFill>
            </a:rPr>
            <a:t> Technologies</a:t>
          </a:r>
          <a:r>
            <a:rPr lang="en-US" sz="1400" b="0">
              <a:solidFill>
                <a:schemeClr val="accent4">
                  <a:lumMod val="50000"/>
                </a:schemeClr>
              </a:solidFill>
            </a:rPr>
            <a:t> </a:t>
          </a:r>
        </a:p>
      </xdr:txBody>
    </xdr:sp>
    <xdr:clientData/>
  </xdr:twoCellAnchor>
  <xdr:twoCellAnchor editAs="oneCell">
    <xdr:from>
      <xdr:col>1</xdr:col>
      <xdr:colOff>70556</xdr:colOff>
      <xdr:row>21</xdr:row>
      <xdr:rowOff>82314</xdr:rowOff>
    </xdr:from>
    <xdr:to>
      <xdr:col>1</xdr:col>
      <xdr:colOff>527756</xdr:colOff>
      <xdr:row>23</xdr:row>
      <xdr:rowOff>163218</xdr:rowOff>
    </xdr:to>
    <xdr:pic>
      <xdr:nvPicPr>
        <xdr:cNvPr id="21" name="Graphic 20" descr="Money">
          <a:extLst>
            <a:ext uri="{FF2B5EF4-FFF2-40B4-BE49-F238E27FC236}">
              <a16:creationId xmlns:a16="http://schemas.microsoft.com/office/drawing/2014/main" id="{96615AD4-D3EC-4B9D-9E71-C365BD04512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682037" y="4033425"/>
          <a:ext cx="457200" cy="457200"/>
        </a:xfrm>
        <a:prstGeom prst="rect">
          <a:avLst/>
        </a:prstGeom>
      </xdr:spPr>
    </xdr:pic>
    <xdr:clientData/>
  </xdr:twoCellAnchor>
  <xdr:twoCellAnchor>
    <xdr:from>
      <xdr:col>0</xdr:col>
      <xdr:colOff>82315</xdr:colOff>
      <xdr:row>30</xdr:row>
      <xdr:rowOff>152871</xdr:rowOff>
    </xdr:from>
    <xdr:to>
      <xdr:col>2</xdr:col>
      <xdr:colOff>470370</xdr:colOff>
      <xdr:row>40</xdr:row>
      <xdr:rowOff>35278</xdr:rowOff>
    </xdr:to>
    <xdr:sp macro="" textlink="">
      <xdr:nvSpPr>
        <xdr:cNvPr id="22" name="Rectangle: Rounded Corners 21">
          <a:extLst>
            <a:ext uri="{FF2B5EF4-FFF2-40B4-BE49-F238E27FC236}">
              <a16:creationId xmlns:a16="http://schemas.microsoft.com/office/drawing/2014/main" id="{60C0BDC1-5576-4F67-BB28-15BAA9CE5590}"/>
            </a:ext>
          </a:extLst>
        </xdr:cNvPr>
        <xdr:cNvSpPr/>
      </xdr:nvSpPr>
      <xdr:spPr>
        <a:xfrm>
          <a:off x="82315" y="5797315"/>
          <a:ext cx="1611018" cy="1763889"/>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solidFill>
              <a:schemeClr val="accent4">
                <a:lumMod val="50000"/>
              </a:schemeClr>
            </a:solidFill>
          </a:endParaRPr>
        </a:p>
        <a:p>
          <a:pPr algn="l"/>
          <a:endParaRPr lang="en-US" sz="1600" b="1">
            <a:solidFill>
              <a:schemeClr val="accent4">
                <a:lumMod val="50000"/>
              </a:schemeClr>
            </a:solidFill>
          </a:endParaRPr>
        </a:p>
        <a:p>
          <a:pPr algn="ctr"/>
          <a:r>
            <a:rPr lang="en-US" sz="1600" b="0">
              <a:solidFill>
                <a:schemeClr val="accent4">
                  <a:lumMod val="50000"/>
                </a:schemeClr>
              </a:solidFill>
            </a:rPr>
            <a:t>MOST EFFECTIVE </a:t>
          </a:r>
        </a:p>
        <a:p>
          <a:pPr algn="l"/>
          <a:r>
            <a:rPr lang="en-US" sz="1400" b="0" baseline="0">
              <a:solidFill>
                <a:schemeClr val="accent4">
                  <a:lumMod val="50000"/>
                </a:schemeClr>
              </a:solidFill>
            </a:rPr>
            <a:t>Resolution Date</a:t>
          </a:r>
          <a:endParaRPr lang="en-US" sz="1400" b="0">
            <a:solidFill>
              <a:schemeClr val="accent4">
                <a:lumMod val="50000"/>
              </a:schemeClr>
            </a:solidFill>
          </a:endParaRPr>
        </a:p>
        <a:p>
          <a:pPr algn="ctr"/>
          <a:r>
            <a:rPr lang="en-US" sz="1600" b="1">
              <a:solidFill>
                <a:schemeClr val="accent4">
                  <a:lumMod val="50000"/>
                </a:schemeClr>
              </a:solidFill>
            </a:rPr>
            <a:t>2025-03-13</a:t>
          </a:r>
          <a:r>
            <a:rPr lang="en-US" sz="1400" b="0">
              <a:solidFill>
                <a:schemeClr val="accent4">
                  <a:lumMod val="50000"/>
                </a:schemeClr>
              </a:solidFill>
            </a:rPr>
            <a:t> </a:t>
          </a:r>
        </a:p>
      </xdr:txBody>
    </xdr:sp>
    <xdr:clientData/>
  </xdr:twoCellAnchor>
  <xdr:twoCellAnchor editAs="oneCell">
    <xdr:from>
      <xdr:col>1</xdr:col>
      <xdr:colOff>23519</xdr:colOff>
      <xdr:row>31</xdr:row>
      <xdr:rowOff>47038</xdr:rowOff>
    </xdr:from>
    <xdr:to>
      <xdr:col>1</xdr:col>
      <xdr:colOff>586552</xdr:colOff>
      <xdr:row>34</xdr:row>
      <xdr:rowOff>45627</xdr:rowOff>
    </xdr:to>
    <xdr:pic>
      <xdr:nvPicPr>
        <xdr:cNvPr id="24" name="Graphic 23" descr="Bar graph with upward trend">
          <a:extLst>
            <a:ext uri="{FF2B5EF4-FFF2-40B4-BE49-F238E27FC236}">
              <a16:creationId xmlns:a16="http://schemas.microsoft.com/office/drawing/2014/main" id="{904A1C35-7791-473B-A8CC-9501CE92ACC3}"/>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635000" y="5879631"/>
          <a:ext cx="563033" cy="563033"/>
        </a:xfrm>
        <a:prstGeom prst="rect">
          <a:avLst/>
        </a:prstGeom>
      </xdr:spPr>
    </xdr:pic>
    <xdr:clientData/>
  </xdr:twoCellAnchor>
  <xdr:twoCellAnchor editAs="oneCell">
    <xdr:from>
      <xdr:col>0</xdr:col>
      <xdr:colOff>564445</xdr:colOff>
      <xdr:row>3</xdr:row>
      <xdr:rowOff>176388</xdr:rowOff>
    </xdr:from>
    <xdr:to>
      <xdr:col>1</xdr:col>
      <xdr:colOff>552686</xdr:colOff>
      <xdr:row>7</xdr:row>
      <xdr:rowOff>141110</xdr:rowOff>
    </xdr:to>
    <xdr:pic>
      <xdr:nvPicPr>
        <xdr:cNvPr id="26" name="Graphic 25" descr="Umbrella">
          <a:extLst>
            <a:ext uri="{FF2B5EF4-FFF2-40B4-BE49-F238E27FC236}">
              <a16:creationId xmlns:a16="http://schemas.microsoft.com/office/drawing/2014/main" id="{3284988B-11CF-46DD-A080-0FD9AE9503B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564445" y="740832"/>
          <a:ext cx="599722" cy="71731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45.959654745369" createdVersion="6" refreshedVersion="6" minRefreshableVersion="3" recordCount="30" xr:uid="{24DDE400-DC3A-4504-98B1-B689F60E342C}">
  <cacheSource type="worksheet">
    <worksheetSource name="Table1"/>
  </cacheSource>
  <cacheFields count="9">
    <cacheField name="Name of Company " numFmtId="0">
      <sharedItems count="3">
        <s v="Foufani Technologies "/>
        <s v="Hisense Tech"/>
        <s v="Atech Programs"/>
      </sharedItems>
    </cacheField>
    <cacheField name="Ticket ID" numFmtId="0">
      <sharedItems count="21">
        <s v="TECH_021"/>
        <s v="TECH_022"/>
        <s v="TECH_023"/>
        <s v="TECH_024"/>
        <s v="TECH_025"/>
        <s v="TECH_026"/>
        <s v="TECH_027"/>
        <s v="TECH_028"/>
        <s v="TECH_029"/>
        <s v="TECH_030"/>
        <s v="TECH_031"/>
        <s v="TECH_032"/>
        <s v="TECH_033"/>
        <s v="TECH_034"/>
        <s v="TECH_035"/>
        <s v="TECH_036"/>
        <s v="TECH_037"/>
        <s v="TECH_038"/>
        <s v="TECH_039"/>
        <s v="TECH_040"/>
        <s v="TECH_041"/>
      </sharedItems>
    </cacheField>
    <cacheField name=" Issue Category" numFmtId="0">
      <sharedItems count="5">
        <s v=" Software Installation Failure"/>
        <s v=" Network Connectivity Issue"/>
        <s v=" Device Compatibility Error"/>
        <s v=" Account Synchronization Bug"/>
        <s v=" Payment Gateway Integration Failure"/>
      </sharedItems>
    </cacheField>
    <cacheField name=" Sentiment" numFmtId="0">
      <sharedItems count="5">
        <s v=" Frustrated"/>
        <s v=" Confused"/>
        <s v=" Annoyed"/>
        <s v=" Anxious"/>
        <s v=" Urgent"/>
      </sharedItems>
    </cacheField>
    <cacheField name=" Priority" numFmtId="0">
      <sharedItems count="3">
        <s v=" High"/>
        <s v=" Medium"/>
        <s v=" Critical"/>
      </sharedItems>
    </cacheField>
    <cacheField name=" Solution" numFmtId="0">
      <sharedItems count="15">
        <s v=" Disable antivirus and retry installation"/>
        <s v=" Download from direct link"/>
        <s v=" Update to latest version of antivirus"/>
        <s v=" Check app permissions for Local Network"/>
        <s v=" Clear app cache and relog"/>
        <s v=" Reinstall the app"/>
        <s v=" Rollback app to version 4.9"/>
        <s v=" Offer a discount on a compatible thermostat"/>
        <s v=" Contact thermostat support for an update"/>
        <s v=" Reset sync token manually"/>
        <s v=" Force Full Sync on both devices"/>
        <s v=" Upgrade server to TLS 1.3"/>
        <s v=" Verify SSL certificate settings"/>
        <s v=" Use a different gateway API"/>
        <s v=" Check server firewall settings"/>
      </sharedItems>
    </cacheField>
    <cacheField name="Status" numFmtId="0">
      <sharedItems count="1">
        <s v=" Resolved"/>
      </sharedItems>
    </cacheField>
    <cacheField name=" Date of Resolution" numFmtId="0">
      <sharedItems count="5">
        <s v=" 2025-03-17"/>
        <s v=" 2025-03-16"/>
        <s v=" 2025-03-15"/>
        <s v=" 2025-03-14"/>
        <s v=" 2025-03-13"/>
      </sharedItems>
    </cacheField>
    <cacheField name="Amount Spent" numFmtId="164">
      <sharedItems containsSemiMixedTypes="0" containsString="0" containsNumber="1" containsInteger="1" minValue="10" maxValue="660"/>
    </cacheField>
  </cacheFields>
  <extLst>
    <ext xmlns:x14="http://schemas.microsoft.com/office/spreadsheetml/2009/9/main" uri="{725AE2AE-9491-48be-B2B4-4EB974FC3084}">
      <x14:pivotCacheDefinition pivotCacheId="13363158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x v="0"/>
    <x v="0"/>
    <x v="0"/>
    <n v="15"/>
  </r>
  <r>
    <x v="1"/>
    <x v="1"/>
    <x v="0"/>
    <x v="0"/>
    <x v="0"/>
    <x v="1"/>
    <x v="0"/>
    <x v="0"/>
    <n v="90"/>
  </r>
  <r>
    <x v="0"/>
    <x v="2"/>
    <x v="0"/>
    <x v="0"/>
    <x v="0"/>
    <x v="2"/>
    <x v="0"/>
    <x v="0"/>
    <n v="35"/>
  </r>
  <r>
    <x v="1"/>
    <x v="3"/>
    <x v="1"/>
    <x v="1"/>
    <x v="1"/>
    <x v="3"/>
    <x v="0"/>
    <x v="1"/>
    <n v="64"/>
  </r>
  <r>
    <x v="2"/>
    <x v="4"/>
    <x v="1"/>
    <x v="1"/>
    <x v="1"/>
    <x v="4"/>
    <x v="0"/>
    <x v="1"/>
    <n v="20"/>
  </r>
  <r>
    <x v="0"/>
    <x v="5"/>
    <x v="1"/>
    <x v="1"/>
    <x v="1"/>
    <x v="5"/>
    <x v="0"/>
    <x v="1"/>
    <n v="10"/>
  </r>
  <r>
    <x v="1"/>
    <x v="6"/>
    <x v="2"/>
    <x v="2"/>
    <x v="2"/>
    <x v="6"/>
    <x v="0"/>
    <x v="2"/>
    <n v="10"/>
  </r>
  <r>
    <x v="2"/>
    <x v="7"/>
    <x v="2"/>
    <x v="2"/>
    <x v="2"/>
    <x v="7"/>
    <x v="0"/>
    <x v="2"/>
    <n v="20"/>
  </r>
  <r>
    <x v="0"/>
    <x v="8"/>
    <x v="2"/>
    <x v="2"/>
    <x v="2"/>
    <x v="8"/>
    <x v="0"/>
    <x v="2"/>
    <n v="50"/>
  </r>
  <r>
    <x v="1"/>
    <x v="9"/>
    <x v="3"/>
    <x v="3"/>
    <x v="0"/>
    <x v="9"/>
    <x v="0"/>
    <x v="3"/>
    <n v="85"/>
  </r>
  <r>
    <x v="0"/>
    <x v="10"/>
    <x v="3"/>
    <x v="3"/>
    <x v="0"/>
    <x v="10"/>
    <x v="0"/>
    <x v="3"/>
    <n v="50"/>
  </r>
  <r>
    <x v="2"/>
    <x v="11"/>
    <x v="3"/>
    <x v="3"/>
    <x v="0"/>
    <x v="4"/>
    <x v="0"/>
    <x v="3"/>
    <n v="125"/>
  </r>
  <r>
    <x v="0"/>
    <x v="12"/>
    <x v="4"/>
    <x v="4"/>
    <x v="2"/>
    <x v="11"/>
    <x v="0"/>
    <x v="4"/>
    <n v="50"/>
  </r>
  <r>
    <x v="1"/>
    <x v="13"/>
    <x v="4"/>
    <x v="4"/>
    <x v="2"/>
    <x v="12"/>
    <x v="0"/>
    <x v="4"/>
    <n v="10"/>
  </r>
  <r>
    <x v="0"/>
    <x v="14"/>
    <x v="4"/>
    <x v="4"/>
    <x v="2"/>
    <x v="13"/>
    <x v="0"/>
    <x v="4"/>
    <n v="30"/>
  </r>
  <r>
    <x v="2"/>
    <x v="15"/>
    <x v="4"/>
    <x v="4"/>
    <x v="2"/>
    <x v="14"/>
    <x v="0"/>
    <x v="4"/>
    <n v="120"/>
  </r>
  <r>
    <x v="1"/>
    <x v="16"/>
    <x v="3"/>
    <x v="3"/>
    <x v="1"/>
    <x v="8"/>
    <x v="0"/>
    <x v="4"/>
    <n v="135"/>
  </r>
  <r>
    <x v="0"/>
    <x v="17"/>
    <x v="3"/>
    <x v="0"/>
    <x v="1"/>
    <x v="9"/>
    <x v="0"/>
    <x v="4"/>
    <n v="13"/>
  </r>
  <r>
    <x v="1"/>
    <x v="18"/>
    <x v="4"/>
    <x v="1"/>
    <x v="2"/>
    <x v="10"/>
    <x v="0"/>
    <x v="4"/>
    <n v="57"/>
  </r>
  <r>
    <x v="2"/>
    <x v="19"/>
    <x v="3"/>
    <x v="4"/>
    <x v="0"/>
    <x v="4"/>
    <x v="0"/>
    <x v="4"/>
    <n v="40"/>
  </r>
  <r>
    <x v="0"/>
    <x v="20"/>
    <x v="3"/>
    <x v="3"/>
    <x v="0"/>
    <x v="11"/>
    <x v="0"/>
    <x v="4"/>
    <n v="20"/>
  </r>
  <r>
    <x v="0"/>
    <x v="2"/>
    <x v="0"/>
    <x v="0"/>
    <x v="0"/>
    <x v="2"/>
    <x v="0"/>
    <x v="0"/>
    <n v="660"/>
  </r>
  <r>
    <x v="1"/>
    <x v="3"/>
    <x v="1"/>
    <x v="1"/>
    <x v="1"/>
    <x v="3"/>
    <x v="0"/>
    <x v="1"/>
    <n v="10"/>
  </r>
  <r>
    <x v="2"/>
    <x v="4"/>
    <x v="1"/>
    <x v="1"/>
    <x v="1"/>
    <x v="4"/>
    <x v="0"/>
    <x v="1"/>
    <n v="300"/>
  </r>
  <r>
    <x v="0"/>
    <x v="5"/>
    <x v="1"/>
    <x v="1"/>
    <x v="1"/>
    <x v="5"/>
    <x v="0"/>
    <x v="1"/>
    <n v="10"/>
  </r>
  <r>
    <x v="1"/>
    <x v="6"/>
    <x v="2"/>
    <x v="2"/>
    <x v="2"/>
    <x v="6"/>
    <x v="0"/>
    <x v="2"/>
    <n v="80"/>
  </r>
  <r>
    <x v="2"/>
    <x v="7"/>
    <x v="2"/>
    <x v="2"/>
    <x v="2"/>
    <x v="7"/>
    <x v="0"/>
    <x v="2"/>
    <n v="13"/>
  </r>
  <r>
    <x v="0"/>
    <x v="8"/>
    <x v="2"/>
    <x v="2"/>
    <x v="2"/>
    <x v="8"/>
    <x v="0"/>
    <x v="2"/>
    <n v="50"/>
  </r>
  <r>
    <x v="1"/>
    <x v="9"/>
    <x v="3"/>
    <x v="3"/>
    <x v="0"/>
    <x v="9"/>
    <x v="0"/>
    <x v="3"/>
    <n v="20"/>
  </r>
  <r>
    <x v="0"/>
    <x v="10"/>
    <x v="3"/>
    <x v="3"/>
    <x v="0"/>
    <x v="10"/>
    <x v="0"/>
    <x v="3"/>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0F144C-1478-4F6F-B450-8D841BEC9594}"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9">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dataField="1" showAll="0"/>
    <pivotField showAll="0">
      <items count="6">
        <item x="3"/>
        <item x="2"/>
        <item x="1"/>
        <item x="4"/>
        <item x="0"/>
        <item t="default"/>
      </items>
    </pivotField>
    <pivotField showAll="0"/>
    <pivotField showAll="0">
      <items count="4">
        <item x="2"/>
        <item x="0"/>
        <item x="1"/>
        <item t="default"/>
      </items>
    </pivotField>
    <pivotField showAll="0"/>
    <pivotField showAll="0"/>
    <pivotField showAll="0"/>
    <pivotField showAll="0"/>
  </pivotFields>
  <rowFields count="1">
    <field x="0"/>
  </rowFields>
  <rowItems count="4">
    <i>
      <x v="1"/>
    </i>
    <i>
      <x/>
    </i>
    <i>
      <x v="2"/>
    </i>
    <i t="grand">
      <x/>
    </i>
  </rowItems>
  <colItems count="1">
    <i/>
  </colItems>
  <dataFields count="1">
    <dataField name="Count of Ticket I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9830C5-8B43-44E6-9491-A74512764F53}"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9">
    <pivotField showAll="0">
      <items count="4">
        <item x="2"/>
        <item x="0"/>
        <item x="1"/>
        <item t="default"/>
      </items>
    </pivotField>
    <pivotField dataField="1" showAll="0"/>
    <pivotField showAll="0">
      <items count="6">
        <item x="3"/>
        <item x="2"/>
        <item x="1"/>
        <item x="4"/>
        <item x="0"/>
        <item t="default"/>
      </items>
    </pivotField>
    <pivotField showAll="0"/>
    <pivotField showAll="0"/>
    <pivotField showAll="0"/>
    <pivotField showAll="0"/>
    <pivotField axis="axisRow" showAll="0">
      <items count="6">
        <item x="4"/>
        <item x="3"/>
        <item x="2"/>
        <item x="1"/>
        <item x="0"/>
        <item t="default"/>
      </items>
    </pivotField>
    <pivotField showAll="0"/>
  </pivotFields>
  <rowFields count="1">
    <field x="7"/>
  </rowFields>
  <rowItems count="6">
    <i>
      <x/>
    </i>
    <i>
      <x v="1"/>
    </i>
    <i>
      <x v="2"/>
    </i>
    <i>
      <x v="3"/>
    </i>
    <i>
      <x v="4"/>
    </i>
    <i t="grand">
      <x/>
    </i>
  </rowItems>
  <colItems count="1">
    <i/>
  </colItems>
  <dataFields count="1">
    <dataField name="Count of Ticket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8C51ED-5E98-4331-A6AB-A39B1624FD86}"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pivotFields count="9">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dataField="1" showAll="0"/>
    <pivotField showAll="0">
      <items count="6">
        <item x="3"/>
        <item x="2"/>
        <item x="1"/>
        <item x="4"/>
        <item x="0"/>
        <item t="default"/>
      </items>
    </pivotField>
    <pivotField showAll="0"/>
    <pivotField axis="axisRow" showAll="0">
      <items count="4">
        <item x="2"/>
        <item x="0"/>
        <item x="1"/>
        <item t="default"/>
      </items>
    </pivotField>
    <pivotField showAll="0"/>
    <pivotField showAll="0"/>
    <pivotField showAll="0"/>
    <pivotField showAll="0"/>
  </pivotFields>
  <rowFields count="1">
    <field x="4"/>
  </rowFields>
  <rowItems count="4">
    <i>
      <x/>
    </i>
    <i>
      <x v="1"/>
    </i>
    <i>
      <x v="2"/>
    </i>
    <i t="grand">
      <x/>
    </i>
  </rowItems>
  <colItems count="1">
    <i/>
  </colItems>
  <dataFields count="1">
    <dataField name="Count of Ticket ID" fld="1"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0128C4-6645-411E-8DC0-27094E2893A2}"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9" firstHeaderRow="1" firstDataRow="1" firstDataCol="1"/>
  <pivotFields count="9">
    <pivotField showAll="0">
      <items count="4">
        <item x="2"/>
        <item x="0"/>
        <item x="1"/>
        <item t="default"/>
      </items>
    </pivotField>
    <pivotField showAll="0"/>
    <pivotField showAll="0">
      <items count="6">
        <item x="3"/>
        <item x="2"/>
        <item x="1"/>
        <item x="4"/>
        <item x="0"/>
        <item t="default"/>
      </items>
    </pivotField>
    <pivotField axis="axisRow" showAll="0">
      <items count="6">
        <item x="2"/>
        <item x="3"/>
        <item x="1"/>
        <item x="0"/>
        <item x="4"/>
        <item t="default"/>
      </items>
    </pivotField>
    <pivotField dataField="1" showAll="0">
      <items count="4">
        <item x="2"/>
        <item x="0"/>
        <item x="1"/>
        <item t="default"/>
      </items>
    </pivotField>
    <pivotField showAll="0"/>
    <pivotField showAll="0"/>
    <pivotField showAll="0"/>
    <pivotField showAll="0"/>
  </pivotFields>
  <rowFields count="1">
    <field x="3"/>
  </rowFields>
  <rowItems count="6">
    <i>
      <x/>
    </i>
    <i>
      <x v="1"/>
    </i>
    <i>
      <x v="2"/>
    </i>
    <i>
      <x v="3"/>
    </i>
    <i>
      <x v="4"/>
    </i>
    <i t="grand">
      <x/>
    </i>
  </rowItems>
  <colItems count="1">
    <i/>
  </colItems>
  <dataFields count="1">
    <dataField name="Count of  Priority" fld="4" subtotal="count" showDataAs="percentOfTotal" baseField="3" baseItem="0" numFmtId="10"/>
  </dataFields>
  <chartFormats count="12">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0"/>
          </reference>
        </references>
      </pivotArea>
    </chartFormat>
    <chartFormat chart="3" format="15">
      <pivotArea type="data" outline="0" fieldPosition="0">
        <references count="2">
          <reference field="4294967294" count="1" selected="0">
            <x v="0"/>
          </reference>
          <reference field="3" count="1" selected="0">
            <x v="4"/>
          </reference>
        </references>
      </pivotArea>
    </chartFormat>
    <chartFormat chart="3" format="16">
      <pivotArea type="data" outline="0" fieldPosition="0">
        <references count="2">
          <reference field="4294967294" count="1" selected="0">
            <x v="0"/>
          </reference>
          <reference field="3" count="1" selected="0">
            <x v="3"/>
          </reference>
        </references>
      </pivotArea>
    </chartFormat>
    <chartFormat chart="5" format="23" series="1">
      <pivotArea type="data" outline="0" fieldPosition="0">
        <references count="1">
          <reference field="4294967294" count="1" selected="0">
            <x v="0"/>
          </reference>
        </references>
      </pivotArea>
    </chartFormat>
    <chartFormat chart="5" format="24">
      <pivotArea type="data" outline="0" fieldPosition="0">
        <references count="2">
          <reference field="4294967294" count="1" selected="0">
            <x v="0"/>
          </reference>
          <reference field="3" count="1" selected="0">
            <x v="0"/>
          </reference>
        </references>
      </pivotArea>
    </chartFormat>
    <chartFormat chart="5" format="25">
      <pivotArea type="data" outline="0" fieldPosition="0">
        <references count="2">
          <reference field="4294967294" count="1" selected="0">
            <x v="0"/>
          </reference>
          <reference field="3" count="1" selected="0">
            <x v="1"/>
          </reference>
        </references>
      </pivotArea>
    </chartFormat>
    <chartFormat chart="5" format="26">
      <pivotArea type="data" outline="0" fieldPosition="0">
        <references count="2">
          <reference field="4294967294" count="1" selected="0">
            <x v="0"/>
          </reference>
          <reference field="3" count="1" selected="0">
            <x v="2"/>
          </reference>
        </references>
      </pivotArea>
    </chartFormat>
    <chartFormat chart="5" format="27">
      <pivotArea type="data" outline="0" fieldPosition="0">
        <references count="2">
          <reference field="4294967294" count="1" selected="0">
            <x v="0"/>
          </reference>
          <reference field="3" count="1" selected="0">
            <x v="3"/>
          </reference>
        </references>
      </pivotArea>
    </chartFormat>
    <chartFormat chart="5" format="28">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C95566-4B60-489D-9428-7F90C5E79D52}"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9" firstHeaderRow="1" firstDataRow="1" firstDataCol="1"/>
  <pivotFields count="9">
    <pivotField showAll="0">
      <items count="4">
        <item x="2"/>
        <item x="0"/>
        <item x="1"/>
        <item t="default"/>
      </items>
    </pivotField>
    <pivotField showAll="0"/>
    <pivotField axis="axisRow" showAll="0" sortType="descending">
      <items count="6">
        <item x="3"/>
        <item x="2"/>
        <item x="1"/>
        <item x="4"/>
        <item x="0"/>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showAll="0"/>
    <pivotField dataField="1" showAll="0"/>
  </pivotFields>
  <rowFields count="1">
    <field x="2"/>
  </rowFields>
  <rowItems count="6">
    <i>
      <x v="4"/>
    </i>
    <i>
      <x/>
    </i>
    <i>
      <x v="2"/>
    </i>
    <i>
      <x v="3"/>
    </i>
    <i>
      <x v="1"/>
    </i>
    <i t="grand">
      <x/>
    </i>
  </rowItems>
  <colItems count="1">
    <i/>
  </colItems>
  <dataFields count="1">
    <dataField name="Sum of Amount Spent" fld="8" baseField="2" baseItem="0"/>
  </dataFields>
  <formats count="1">
    <format dxfId="2">
      <pivotArea collapsedLevelsAreSubtotals="1" fieldPosition="0">
        <references count="1">
          <reference field="2" count="0"/>
        </references>
      </pivotArea>
    </format>
  </formats>
  <chartFormats count="13">
    <chartFormat chart="4" format="2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4"/>
          </reference>
        </references>
      </pivotArea>
    </chartFormat>
    <chartFormat chart="6" format="2">
      <pivotArea type="data" outline="0" fieldPosition="0">
        <references count="2">
          <reference field="4294967294" count="1" selected="0">
            <x v="0"/>
          </reference>
          <reference field="2" count="1" selected="0">
            <x v="0"/>
          </reference>
        </references>
      </pivotArea>
    </chartFormat>
    <chartFormat chart="6" format="3">
      <pivotArea type="data" outline="0" fieldPosition="0">
        <references count="2">
          <reference field="4294967294" count="1" selected="0">
            <x v="0"/>
          </reference>
          <reference field="2" count="1" selected="0">
            <x v="2"/>
          </reference>
        </references>
      </pivotArea>
    </chartFormat>
    <chartFormat chart="6" format="4">
      <pivotArea type="data" outline="0" fieldPosition="0">
        <references count="2">
          <reference field="4294967294" count="1" selected="0">
            <x v="0"/>
          </reference>
          <reference field="2" count="1" selected="0">
            <x v="3"/>
          </reference>
        </references>
      </pivotArea>
    </chartFormat>
    <chartFormat chart="6" format="5">
      <pivotArea type="data" outline="0" fieldPosition="0">
        <references count="2">
          <reference field="4294967294" count="1" selected="0">
            <x v="0"/>
          </reference>
          <reference field="2"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2" count="1" selected="0">
            <x v="4"/>
          </reference>
        </references>
      </pivotArea>
    </chartFormat>
    <chartFormat chart="8" format="14">
      <pivotArea type="data" outline="0" fieldPosition="0">
        <references count="2">
          <reference field="4294967294" count="1" selected="0">
            <x v="0"/>
          </reference>
          <reference field="2" count="1" selected="0">
            <x v="0"/>
          </reference>
        </references>
      </pivotArea>
    </chartFormat>
    <chartFormat chart="8" format="15">
      <pivotArea type="data" outline="0" fieldPosition="0">
        <references count="2">
          <reference field="4294967294" count="1" selected="0">
            <x v="0"/>
          </reference>
          <reference field="2" count="1" selected="0">
            <x v="2"/>
          </reference>
        </references>
      </pivotArea>
    </chartFormat>
    <chartFormat chart="8" format="16">
      <pivotArea type="data" outline="0" fieldPosition="0">
        <references count="2">
          <reference field="4294967294" count="1" selected="0">
            <x v="0"/>
          </reference>
          <reference field="2" count="1" selected="0">
            <x v="3"/>
          </reference>
        </references>
      </pivotArea>
    </chartFormat>
    <chartFormat chart="8" format="1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D38F11-D85A-49A7-8307-B7263E7D2715}"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8" firstHeaderRow="1" firstDataRow="1" firstDataCol="1"/>
  <pivotFields count="9">
    <pivotField showAll="0">
      <items count="4">
        <item x="2"/>
        <item x="0"/>
        <item x="1"/>
        <item t="default"/>
      </items>
    </pivotField>
    <pivotField showAll="0"/>
    <pivotField showAll="0">
      <items count="6">
        <item x="3"/>
        <item x="2"/>
        <item x="1"/>
        <item x="4"/>
        <item x="0"/>
        <item t="default"/>
      </items>
    </pivotField>
    <pivotField showAll="0"/>
    <pivotField showAll="0">
      <items count="4">
        <item x="2"/>
        <item x="0"/>
        <item x="1"/>
        <item t="default"/>
      </items>
    </pivotField>
    <pivotField axis="axisRow" dataField="1" showAll="0" measureFilter="1" sortType="descending">
      <items count="16">
        <item x="3"/>
        <item x="14"/>
        <item x="4"/>
        <item x="8"/>
        <item x="0"/>
        <item x="1"/>
        <item x="10"/>
        <item x="7"/>
        <item x="5"/>
        <item x="9"/>
        <item x="6"/>
        <item x="2"/>
        <item x="11"/>
        <item x="13"/>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5"/>
  </rowFields>
  <rowItems count="5">
    <i>
      <x v="2"/>
    </i>
    <i>
      <x v="6"/>
    </i>
    <i>
      <x v="9"/>
    </i>
    <i>
      <x v="3"/>
    </i>
    <i t="grand">
      <x/>
    </i>
  </rowItems>
  <colItems count="1">
    <i/>
  </colItems>
  <dataFields count="1">
    <dataField name="Count of  Solution" fld="5" subtotal="count" baseField="5" baseItem="0"/>
  </dataFields>
  <chartFormats count="10">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5" count="1" selected="0">
            <x v="2"/>
          </reference>
        </references>
      </pivotArea>
    </chartFormat>
    <chartFormat chart="7" format="14">
      <pivotArea type="data" outline="0" fieldPosition="0">
        <references count="2">
          <reference field="4294967294" count="1" selected="0">
            <x v="0"/>
          </reference>
          <reference field="5" count="1" selected="0">
            <x v="6"/>
          </reference>
        </references>
      </pivotArea>
    </chartFormat>
    <chartFormat chart="7" format="15">
      <pivotArea type="data" outline="0" fieldPosition="0">
        <references count="2">
          <reference field="4294967294" count="1" selected="0">
            <x v="0"/>
          </reference>
          <reference field="5" count="1" selected="0">
            <x v="9"/>
          </reference>
        </references>
      </pivotArea>
    </chartFormat>
    <chartFormat chart="7" format="16">
      <pivotArea type="data" outline="0" fieldPosition="0">
        <references count="2">
          <reference field="4294967294" count="1" selected="0">
            <x v="0"/>
          </reference>
          <reference field="5" count="1" selected="0">
            <x v="3"/>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5" count="1" selected="0">
            <x v="2"/>
          </reference>
        </references>
      </pivotArea>
    </chartFormat>
    <chartFormat chart="9" format="24">
      <pivotArea type="data" outline="0" fieldPosition="0">
        <references count="2">
          <reference field="4294967294" count="1" selected="0">
            <x v="0"/>
          </reference>
          <reference field="5" count="1" selected="0">
            <x v="6"/>
          </reference>
        </references>
      </pivotArea>
    </chartFormat>
    <chartFormat chart="9" format="25">
      <pivotArea type="data" outline="0" fieldPosition="0">
        <references count="2">
          <reference field="4294967294" count="1" selected="0">
            <x v="0"/>
          </reference>
          <reference field="5" count="1" selected="0">
            <x v="9"/>
          </reference>
        </references>
      </pivotArea>
    </chartFormat>
    <chartFormat chart="9" format="26">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7268F5-C462-49B4-BA93-20E634C68F20}"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10" firstHeaderRow="1" firstDataRow="1" firstDataCol="1"/>
  <pivotFields count="9">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22">
        <item x="0"/>
        <item x="1"/>
        <item x="2"/>
        <item x="3"/>
        <item x="4"/>
        <item x="5"/>
        <item x="6"/>
        <item x="7"/>
        <item x="8"/>
        <item x="9"/>
        <item x="10"/>
        <item x="11"/>
        <item x="12"/>
        <item x="13"/>
        <item x="14"/>
        <item x="15"/>
        <item x="16"/>
        <item x="17"/>
        <item x="18"/>
        <item x="19"/>
        <item x="20"/>
        <item t="default"/>
      </items>
    </pivotField>
    <pivotField showAll="0">
      <items count="6">
        <item x="3"/>
        <item x="2"/>
        <item x="1"/>
        <item x="4"/>
        <item x="0"/>
        <item t="default"/>
      </items>
    </pivotField>
    <pivotField showAll="0"/>
    <pivotField showAll="0">
      <items count="4">
        <item x="2"/>
        <item x="0"/>
        <item x="1"/>
        <item t="default"/>
      </items>
    </pivotField>
    <pivotField dataField="1" showAll="0">
      <items count="16">
        <item x="3"/>
        <item x="14"/>
        <item x="4"/>
        <item x="8"/>
        <item x="0"/>
        <item x="1"/>
        <item x="10"/>
        <item x="7"/>
        <item x="5"/>
        <item x="9"/>
        <item x="6"/>
        <item x="2"/>
        <item x="11"/>
        <item x="13"/>
        <item x="12"/>
        <item t="default"/>
      </items>
    </pivotField>
    <pivotField axis="axisRow" showAll="0">
      <items count="2">
        <item x="0"/>
        <item t="default"/>
      </items>
    </pivotField>
    <pivotField showAll="0"/>
    <pivotField showAll="0"/>
  </pivotFields>
  <rowFields count="2">
    <field x="0"/>
    <field x="6"/>
  </rowFields>
  <rowItems count="7">
    <i>
      <x v="1"/>
    </i>
    <i r="1">
      <x/>
    </i>
    <i>
      <x v="2"/>
    </i>
    <i r="1">
      <x/>
    </i>
    <i>
      <x/>
    </i>
    <i r="1">
      <x/>
    </i>
    <i t="grand">
      <x/>
    </i>
  </rowItems>
  <colItems count="1">
    <i/>
  </colItems>
  <dataFields count="1">
    <dataField name="Count of  Solution" fld="5" subtotal="count" baseField="0" baseItem="0"/>
  </dataFields>
  <chartFormats count="8">
    <chartFormat chart="8" format="26" series="1">
      <pivotArea type="data" outline="0" fieldPosition="0">
        <references count="1">
          <reference field="4294967294" count="1" selected="0">
            <x v="0"/>
          </reference>
        </references>
      </pivotArea>
    </chartFormat>
    <chartFormat chart="8" format="27">
      <pivotArea type="data" outline="0" fieldPosition="0">
        <references count="3">
          <reference field="4294967294" count="1" selected="0">
            <x v="0"/>
          </reference>
          <reference field="0" count="1" selected="0">
            <x v="1"/>
          </reference>
          <reference field="6" count="1" selected="0">
            <x v="0"/>
          </reference>
        </references>
      </pivotArea>
    </chartFormat>
    <chartFormat chart="8" format="28">
      <pivotArea type="data" outline="0" fieldPosition="0">
        <references count="3">
          <reference field="4294967294" count="1" selected="0">
            <x v="0"/>
          </reference>
          <reference field="0" count="1" selected="0">
            <x v="2"/>
          </reference>
          <reference field="6" count="1" selected="0">
            <x v="0"/>
          </reference>
        </references>
      </pivotArea>
    </chartFormat>
    <chartFormat chart="8" format="29">
      <pivotArea type="data" outline="0" fieldPosition="0">
        <references count="3">
          <reference field="4294967294" count="1" selected="0">
            <x v="0"/>
          </reference>
          <reference field="0" count="1" selected="0">
            <x v="0"/>
          </reference>
          <reference field="6" count="1" selected="0">
            <x v="0"/>
          </reference>
        </references>
      </pivotArea>
    </chartFormat>
    <chartFormat chart="10" format="34" series="1">
      <pivotArea type="data" outline="0" fieldPosition="0">
        <references count="1">
          <reference field="4294967294" count="1" selected="0">
            <x v="0"/>
          </reference>
        </references>
      </pivotArea>
    </chartFormat>
    <chartFormat chart="10" format="35">
      <pivotArea type="data" outline="0" fieldPosition="0">
        <references count="3">
          <reference field="4294967294" count="1" selected="0">
            <x v="0"/>
          </reference>
          <reference field="0" count="1" selected="0">
            <x v="1"/>
          </reference>
          <reference field="6" count="1" selected="0">
            <x v="0"/>
          </reference>
        </references>
      </pivotArea>
    </chartFormat>
    <chartFormat chart="10" format="36">
      <pivotArea type="data" outline="0" fieldPosition="0">
        <references count="3">
          <reference field="4294967294" count="1" selected="0">
            <x v="0"/>
          </reference>
          <reference field="0" count="1" selected="0">
            <x v="2"/>
          </reference>
          <reference field="6" count="1" selected="0">
            <x v="0"/>
          </reference>
        </references>
      </pivotArea>
    </chartFormat>
    <chartFormat chart="10" format="37">
      <pivotArea type="data" outline="0" fieldPosition="0">
        <references count="3">
          <reference field="4294967294" count="1" selected="0">
            <x v="0"/>
          </reference>
          <reference field="0"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of_Company" xr10:uid="{A54AE035-72BE-48F4-9FE7-8B2D284801BD}" sourceName="Name of Company ">
  <pivotTables>
    <pivotTable tabId="4" name="PivotTable1"/>
    <pivotTable tabId="8" name="PivotTable1"/>
    <pivotTable tabId="5" name="PivotTable1"/>
    <pivotTable tabId="9" name="PivotTable1"/>
    <pivotTable tabId="6" name="PivotTable1"/>
    <pivotTable tabId="7" name="PivotTable1"/>
    <pivotTable tabId="3" name="PivotTable1"/>
  </pivotTables>
  <data>
    <tabular pivotCacheId="133631584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Category" xr10:uid="{70C3300E-8C10-4C9D-B8D8-9237B88D0922}" sourceName=" Issue Category">
  <pivotTables>
    <pivotTable tabId="3" name="PivotTable1"/>
    <pivotTable tabId="8" name="PivotTable1"/>
    <pivotTable tabId="5" name="PivotTable1"/>
    <pivotTable tabId="9" name="PivotTable1"/>
    <pivotTable tabId="6" name="PivotTable1"/>
    <pivotTable tabId="7" name="PivotTable1"/>
    <pivotTable tabId="4" name="PivotTable1"/>
  </pivotTables>
  <data>
    <tabular pivotCacheId="1336315840">
      <items count="5">
        <i x="3" s="1"/>
        <i x="2"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DCCC342B-4740-48C0-9D89-842B6F5BFB88}" sourceName=" Priority">
  <pivotTables>
    <pivotTable tabId="7" name="PivotTable1"/>
    <pivotTable tabId="8" name="PivotTable1"/>
    <pivotTable tabId="5" name="PivotTable1"/>
    <pivotTable tabId="9" name="PivotTable1"/>
    <pivotTable tabId="6" name="PivotTable1"/>
    <pivotTable tabId="3" name="PivotTable1"/>
  </pivotTables>
  <data>
    <tabular pivotCacheId="1336315840">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ID" xr10:uid="{E663A203-FD7B-4945-8A11-C5FEEE787162}" sourceName="Ticket ID">
  <pivotTables>
    <pivotTable tabId="9" name="PivotTable1"/>
  </pivotTables>
  <data>
    <tabular pivotCacheId="1336315840">
      <items count="21">
        <i x="0" s="1"/>
        <i x="1" s="1"/>
        <i x="2" s="1"/>
        <i x="3" s="1"/>
        <i x="4" s="1"/>
        <i x="5" s="1"/>
        <i x="6" s="1"/>
        <i x="7" s="1"/>
        <i x="8" s="1"/>
        <i x="9" s="1"/>
        <i x="10" s="1"/>
        <i x="11" s="1"/>
        <i x="12" s="1"/>
        <i x="13" s="1"/>
        <i x="14" s="1"/>
        <i x="15" s="1"/>
        <i x="16" s="1"/>
        <i x="17" s="1"/>
        <i x="18" s="1"/>
        <i x="19"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of Company " xr10:uid="{EFD1C709-FE26-4676-9D98-1E7668227E5F}" cache="Slicer_Name_of_Company" caption="Name of Company " style="SlicerStyleLight4 2" rowHeight="241300"/>
  <slicer name=" Issue Category" xr10:uid="{026EB326-373D-43FF-B189-7EA923374D2F}" cache="Slicer_Issue_Category" caption=" Issue Category" style="SlicerStyleLight4 2" rowHeight="241300"/>
  <slicer name=" Priority" xr10:uid="{D45A6E6A-2261-40B0-B33D-F7969D4F32A3}" cache="Slicer_Priority" caption=" Priority" style="SlicerStyleLight4 2" rowHeight="241300"/>
  <slicer name="Ticket ID" xr10:uid="{3C412723-AF08-4322-9F38-721B152A98EE}" cache="Slicer_Ticket_ID" caption="Ticket ID" style="SlicerStyleLight4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D1C585-ABC9-4195-A278-9A54A1A6DAD6}" name="Table1" displayName="Table1" ref="A2:I32" totalsRowShown="0" headerRowDxfId="13" dataDxfId="12">
  <autoFilter ref="A2:I32" xr:uid="{4A3EF97E-53A3-486F-BDE4-F3A9E6428627}"/>
  <tableColumns count="9">
    <tableColumn id="1" xr3:uid="{A08AF1B4-8BEB-4329-A80D-315ED3A9C044}" name="Name of Company " dataDxfId="11"/>
    <tableColumn id="2" xr3:uid="{532BA047-7368-4E11-A814-A18BEC509ABB}" name="Ticket ID" dataDxfId="10"/>
    <tableColumn id="3" xr3:uid="{F0364AB9-AA21-4B76-AE38-AC40DB52A1B8}" name=" Issue Category" dataDxfId="9"/>
    <tableColumn id="4" xr3:uid="{5B81EDF7-FE99-4232-BCD3-97B5CDF617D9}" name=" Sentiment" dataDxfId="8"/>
    <tableColumn id="5" xr3:uid="{F6A32A28-1725-4BC6-B8AB-F5B7C07C1A55}" name=" Priority" dataDxfId="7"/>
    <tableColumn id="6" xr3:uid="{A1B5CAEF-E4EE-4BE9-A2CC-F8F6B91B089C}" name=" Solution" dataDxfId="6"/>
    <tableColumn id="7" xr3:uid="{F2DB0DC2-A38E-4A89-86DE-88BCE230BA3D}" name="Resolution Status" dataDxfId="5"/>
    <tableColumn id="8" xr3:uid="{E63C0B62-D800-4ED0-89CB-A808AC62831B}" name=" Date of Resolution" dataDxfId="4"/>
    <tableColumn id="9" xr3:uid="{284132B9-8373-4B58-81CE-C64B8B1B1CF4}" name="Amount Spent" dataDxfId="3"/>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zoomScale="98" zoomScaleNormal="98" workbookViewId="0">
      <pane ySplit="2" topLeftCell="A3" activePane="bottomLeft" state="frozen"/>
      <selection pane="bottomLeft" activeCell="A2" sqref="A2:I2"/>
    </sheetView>
  </sheetViews>
  <sheetFormatPr defaultRowHeight="15.75" x14ac:dyDescent="0.25"/>
  <cols>
    <col min="1" max="1" width="22.28515625" style="2" customWidth="1"/>
    <col min="2" max="2" width="13.140625" style="2" customWidth="1"/>
    <col min="3" max="3" width="37.28515625" style="2" customWidth="1"/>
    <col min="4" max="4" width="14.140625" style="2" customWidth="1"/>
    <col min="5" max="5" width="11.42578125" style="2" customWidth="1"/>
    <col min="6" max="6" width="43.5703125" style="2" customWidth="1"/>
    <col min="7" max="7" width="19.28515625" style="2" customWidth="1"/>
    <col min="8" max="8" width="22.28515625" style="12" customWidth="1"/>
    <col min="9" max="9" width="17.7109375" style="2" customWidth="1"/>
    <col min="10" max="10" width="11.85546875" customWidth="1"/>
  </cols>
  <sheetData>
    <row r="1" spans="1:9" ht="33.75" customHeight="1" x14ac:dyDescent="0.55000000000000004">
      <c r="A1" s="14" t="s">
        <v>75</v>
      </c>
      <c r="B1" s="15"/>
      <c r="C1" s="15"/>
      <c r="D1" s="15"/>
      <c r="E1" s="15"/>
      <c r="F1" s="15"/>
      <c r="G1" s="15"/>
      <c r="H1" s="15"/>
      <c r="I1" s="15"/>
    </row>
    <row r="2" spans="1:9" x14ac:dyDescent="0.25">
      <c r="A2" s="1" t="s">
        <v>56</v>
      </c>
      <c r="B2" s="1" t="s">
        <v>0</v>
      </c>
      <c r="C2" s="1" t="s">
        <v>1</v>
      </c>
      <c r="D2" s="1" t="s">
        <v>2</v>
      </c>
      <c r="E2" s="1" t="s">
        <v>3</v>
      </c>
      <c r="F2" s="1" t="s">
        <v>4</v>
      </c>
      <c r="G2" s="1" t="s">
        <v>82</v>
      </c>
      <c r="H2" s="11" t="s">
        <v>5</v>
      </c>
      <c r="I2" s="1" t="s">
        <v>65</v>
      </c>
    </row>
    <row r="3" spans="1:9" x14ac:dyDescent="0.25">
      <c r="A3" s="2" t="s">
        <v>57</v>
      </c>
      <c r="B3" s="2" t="s">
        <v>6</v>
      </c>
      <c r="C3" s="2" t="s">
        <v>7</v>
      </c>
      <c r="D3" s="2" t="s">
        <v>8</v>
      </c>
      <c r="E3" s="2" t="s">
        <v>9</v>
      </c>
      <c r="F3" s="2" t="s">
        <v>10</v>
      </c>
      <c r="G3" s="2" t="s">
        <v>11</v>
      </c>
      <c r="H3" s="12" t="s">
        <v>12</v>
      </c>
      <c r="I3" s="9">
        <v>15</v>
      </c>
    </row>
    <row r="4" spans="1:9" x14ac:dyDescent="0.25">
      <c r="A4" s="2" t="s">
        <v>59</v>
      </c>
      <c r="B4" s="2" t="s">
        <v>13</v>
      </c>
      <c r="C4" s="2" t="s">
        <v>7</v>
      </c>
      <c r="D4" s="2" t="s">
        <v>8</v>
      </c>
      <c r="E4" s="2" t="s">
        <v>9</v>
      </c>
      <c r="F4" s="2" t="s">
        <v>14</v>
      </c>
      <c r="G4" s="2" t="s">
        <v>11</v>
      </c>
      <c r="H4" s="12" t="s">
        <v>12</v>
      </c>
      <c r="I4" s="9">
        <v>90</v>
      </c>
    </row>
    <row r="5" spans="1:9" x14ac:dyDescent="0.25">
      <c r="A5" s="2" t="s">
        <v>57</v>
      </c>
      <c r="B5" s="2" t="s">
        <v>15</v>
      </c>
      <c r="C5" s="2" t="s">
        <v>7</v>
      </c>
      <c r="D5" s="2" t="s">
        <v>8</v>
      </c>
      <c r="E5" s="2" t="s">
        <v>9</v>
      </c>
      <c r="F5" s="2" t="s">
        <v>16</v>
      </c>
      <c r="G5" s="2" t="s">
        <v>11</v>
      </c>
      <c r="H5" s="12" t="s">
        <v>12</v>
      </c>
      <c r="I5" s="9">
        <v>35</v>
      </c>
    </row>
    <row r="6" spans="1:9" x14ac:dyDescent="0.25">
      <c r="A6" s="2" t="s">
        <v>59</v>
      </c>
      <c r="B6" s="2" t="s">
        <v>17</v>
      </c>
      <c r="C6" s="2" t="s">
        <v>18</v>
      </c>
      <c r="D6" s="2" t="s">
        <v>19</v>
      </c>
      <c r="E6" s="2" t="s">
        <v>20</v>
      </c>
      <c r="F6" s="2" t="s">
        <v>21</v>
      </c>
      <c r="G6" s="2" t="s">
        <v>11</v>
      </c>
      <c r="H6" s="12" t="s">
        <v>22</v>
      </c>
      <c r="I6" s="9">
        <v>64</v>
      </c>
    </row>
    <row r="7" spans="1:9" x14ac:dyDescent="0.25">
      <c r="A7" s="2" t="s">
        <v>58</v>
      </c>
      <c r="B7" s="2" t="s">
        <v>23</v>
      </c>
      <c r="C7" s="2" t="s">
        <v>18</v>
      </c>
      <c r="D7" s="2" t="s">
        <v>19</v>
      </c>
      <c r="E7" s="2" t="s">
        <v>20</v>
      </c>
      <c r="F7" s="2" t="s">
        <v>24</v>
      </c>
      <c r="G7" s="2" t="s">
        <v>11</v>
      </c>
      <c r="H7" s="12" t="s">
        <v>22</v>
      </c>
      <c r="I7" s="9">
        <v>20</v>
      </c>
    </row>
    <row r="8" spans="1:9" x14ac:dyDescent="0.25">
      <c r="A8" s="2" t="s">
        <v>57</v>
      </c>
      <c r="B8" s="2" t="s">
        <v>25</v>
      </c>
      <c r="C8" s="2" t="s">
        <v>18</v>
      </c>
      <c r="D8" s="2" t="s">
        <v>19</v>
      </c>
      <c r="E8" s="2" t="s">
        <v>20</v>
      </c>
      <c r="F8" s="2" t="s">
        <v>26</v>
      </c>
      <c r="G8" s="2" t="s">
        <v>11</v>
      </c>
      <c r="H8" s="12" t="s">
        <v>22</v>
      </c>
      <c r="I8" s="9">
        <v>10</v>
      </c>
    </row>
    <row r="9" spans="1:9" x14ac:dyDescent="0.25">
      <c r="A9" s="2" t="s">
        <v>59</v>
      </c>
      <c r="B9" s="2" t="s">
        <v>27</v>
      </c>
      <c r="C9" s="2" t="s">
        <v>28</v>
      </c>
      <c r="D9" s="2" t="s">
        <v>29</v>
      </c>
      <c r="E9" s="2" t="s">
        <v>30</v>
      </c>
      <c r="F9" s="2" t="s">
        <v>31</v>
      </c>
      <c r="G9" s="2" t="s">
        <v>11</v>
      </c>
      <c r="H9" s="12" t="s">
        <v>32</v>
      </c>
      <c r="I9" s="9">
        <v>10</v>
      </c>
    </row>
    <row r="10" spans="1:9" x14ac:dyDescent="0.25">
      <c r="A10" s="2" t="s">
        <v>58</v>
      </c>
      <c r="B10" s="2" t="s">
        <v>33</v>
      </c>
      <c r="C10" s="2" t="s">
        <v>28</v>
      </c>
      <c r="D10" s="2" t="s">
        <v>29</v>
      </c>
      <c r="E10" s="2" t="s">
        <v>30</v>
      </c>
      <c r="F10" s="2" t="s">
        <v>34</v>
      </c>
      <c r="G10" s="2" t="s">
        <v>11</v>
      </c>
      <c r="H10" s="12" t="s">
        <v>32</v>
      </c>
      <c r="I10" s="9">
        <v>20</v>
      </c>
    </row>
    <row r="11" spans="1:9" x14ac:dyDescent="0.25">
      <c r="A11" s="2" t="s">
        <v>57</v>
      </c>
      <c r="B11" s="2" t="s">
        <v>35</v>
      </c>
      <c r="C11" s="2" t="s">
        <v>28</v>
      </c>
      <c r="D11" s="2" t="s">
        <v>29</v>
      </c>
      <c r="E11" s="2" t="s">
        <v>30</v>
      </c>
      <c r="F11" s="2" t="s">
        <v>36</v>
      </c>
      <c r="G11" s="2" t="s">
        <v>11</v>
      </c>
      <c r="H11" s="12" t="s">
        <v>32</v>
      </c>
      <c r="I11" s="9">
        <v>50</v>
      </c>
    </row>
    <row r="12" spans="1:9" x14ac:dyDescent="0.25">
      <c r="A12" s="2" t="s">
        <v>59</v>
      </c>
      <c r="B12" s="2" t="s">
        <v>37</v>
      </c>
      <c r="C12" s="2" t="s">
        <v>38</v>
      </c>
      <c r="D12" s="2" t="s">
        <v>39</v>
      </c>
      <c r="E12" s="2" t="s">
        <v>9</v>
      </c>
      <c r="F12" s="2" t="s">
        <v>40</v>
      </c>
      <c r="G12" s="2" t="s">
        <v>11</v>
      </c>
      <c r="H12" s="12" t="s">
        <v>41</v>
      </c>
      <c r="I12" s="9">
        <v>85</v>
      </c>
    </row>
    <row r="13" spans="1:9" x14ac:dyDescent="0.25">
      <c r="A13" s="2" t="s">
        <v>57</v>
      </c>
      <c r="B13" s="2" t="s">
        <v>42</v>
      </c>
      <c r="C13" s="2" t="s">
        <v>38</v>
      </c>
      <c r="D13" s="2" t="s">
        <v>39</v>
      </c>
      <c r="E13" s="2" t="s">
        <v>9</v>
      </c>
      <c r="F13" s="2" t="s">
        <v>43</v>
      </c>
      <c r="G13" s="2" t="s">
        <v>11</v>
      </c>
      <c r="H13" s="12" t="s">
        <v>41</v>
      </c>
      <c r="I13" s="9">
        <v>50</v>
      </c>
    </row>
    <row r="14" spans="1:9" x14ac:dyDescent="0.25">
      <c r="A14" s="2" t="s">
        <v>58</v>
      </c>
      <c r="B14" s="2" t="s">
        <v>44</v>
      </c>
      <c r="C14" s="2" t="s">
        <v>38</v>
      </c>
      <c r="D14" s="2" t="s">
        <v>39</v>
      </c>
      <c r="E14" s="2" t="s">
        <v>9</v>
      </c>
      <c r="F14" s="2" t="s">
        <v>24</v>
      </c>
      <c r="G14" s="2" t="s">
        <v>11</v>
      </c>
      <c r="H14" s="12" t="s">
        <v>41</v>
      </c>
      <c r="I14" s="9">
        <v>125</v>
      </c>
    </row>
    <row r="15" spans="1:9" x14ac:dyDescent="0.25">
      <c r="A15" s="2" t="s">
        <v>57</v>
      </c>
      <c r="B15" s="2" t="s">
        <v>45</v>
      </c>
      <c r="C15" s="2" t="s">
        <v>46</v>
      </c>
      <c r="D15" s="2" t="s">
        <v>47</v>
      </c>
      <c r="E15" s="2" t="s">
        <v>30</v>
      </c>
      <c r="F15" s="2" t="s">
        <v>48</v>
      </c>
      <c r="G15" s="2" t="s">
        <v>11</v>
      </c>
      <c r="H15" s="12" t="s">
        <v>49</v>
      </c>
      <c r="I15" s="9">
        <v>50</v>
      </c>
    </row>
    <row r="16" spans="1:9" x14ac:dyDescent="0.25">
      <c r="A16" s="2" t="s">
        <v>59</v>
      </c>
      <c r="B16" s="2" t="s">
        <v>50</v>
      </c>
      <c r="C16" s="2" t="s">
        <v>46</v>
      </c>
      <c r="D16" s="2" t="s">
        <v>47</v>
      </c>
      <c r="E16" s="2" t="s">
        <v>30</v>
      </c>
      <c r="F16" s="2" t="s">
        <v>51</v>
      </c>
      <c r="G16" s="2" t="s">
        <v>11</v>
      </c>
      <c r="H16" s="12" t="s">
        <v>49</v>
      </c>
      <c r="I16" s="9">
        <v>10</v>
      </c>
    </row>
    <row r="17" spans="1:9" x14ac:dyDescent="0.25">
      <c r="A17" s="2" t="s">
        <v>57</v>
      </c>
      <c r="B17" s="2" t="s">
        <v>52</v>
      </c>
      <c r="C17" s="2" t="s">
        <v>46</v>
      </c>
      <c r="D17" s="2" t="s">
        <v>47</v>
      </c>
      <c r="E17" s="2" t="s">
        <v>30</v>
      </c>
      <c r="F17" s="2" t="s">
        <v>53</v>
      </c>
      <c r="G17" s="2" t="s">
        <v>11</v>
      </c>
      <c r="H17" s="12" t="s">
        <v>49</v>
      </c>
      <c r="I17" s="9">
        <v>30</v>
      </c>
    </row>
    <row r="18" spans="1:9" x14ac:dyDescent="0.25">
      <c r="A18" s="2" t="s">
        <v>58</v>
      </c>
      <c r="B18" s="2" t="s">
        <v>54</v>
      </c>
      <c r="C18" s="2" t="s">
        <v>46</v>
      </c>
      <c r="D18" s="2" t="s">
        <v>47</v>
      </c>
      <c r="E18" s="2" t="s">
        <v>30</v>
      </c>
      <c r="F18" s="2" t="s">
        <v>55</v>
      </c>
      <c r="G18" s="2" t="s">
        <v>11</v>
      </c>
      <c r="H18" s="12" t="s">
        <v>49</v>
      </c>
      <c r="I18" s="9">
        <v>120</v>
      </c>
    </row>
    <row r="19" spans="1:9" x14ac:dyDescent="0.25">
      <c r="A19" s="2" t="s">
        <v>59</v>
      </c>
      <c r="B19" s="2" t="s">
        <v>60</v>
      </c>
      <c r="C19" s="2" t="s">
        <v>38</v>
      </c>
      <c r="D19" s="2" t="s">
        <v>39</v>
      </c>
      <c r="E19" s="2" t="s">
        <v>20</v>
      </c>
      <c r="F19" s="2" t="s">
        <v>36</v>
      </c>
      <c r="G19" s="2" t="s">
        <v>11</v>
      </c>
      <c r="H19" s="12" t="s">
        <v>49</v>
      </c>
      <c r="I19" s="9">
        <v>135</v>
      </c>
    </row>
    <row r="20" spans="1:9" x14ac:dyDescent="0.25">
      <c r="A20" s="2" t="s">
        <v>57</v>
      </c>
      <c r="B20" s="2" t="s">
        <v>61</v>
      </c>
      <c r="C20" s="2" t="s">
        <v>38</v>
      </c>
      <c r="D20" s="2" t="s">
        <v>8</v>
      </c>
      <c r="E20" s="2" t="s">
        <v>20</v>
      </c>
      <c r="F20" s="2" t="s">
        <v>40</v>
      </c>
      <c r="G20" s="2" t="s">
        <v>11</v>
      </c>
      <c r="H20" s="12" t="s">
        <v>49</v>
      </c>
      <c r="I20" s="9">
        <v>13</v>
      </c>
    </row>
    <row r="21" spans="1:9" x14ac:dyDescent="0.25">
      <c r="A21" s="2" t="s">
        <v>59</v>
      </c>
      <c r="B21" s="2" t="s">
        <v>62</v>
      </c>
      <c r="C21" s="2" t="s">
        <v>46</v>
      </c>
      <c r="D21" s="2" t="s">
        <v>19</v>
      </c>
      <c r="E21" s="2" t="s">
        <v>30</v>
      </c>
      <c r="F21" s="2" t="s">
        <v>43</v>
      </c>
      <c r="G21" s="2" t="s">
        <v>11</v>
      </c>
      <c r="H21" s="12" t="s">
        <v>49</v>
      </c>
      <c r="I21" s="9">
        <v>57</v>
      </c>
    </row>
    <row r="22" spans="1:9" x14ac:dyDescent="0.25">
      <c r="A22" s="2" t="s">
        <v>58</v>
      </c>
      <c r="B22" s="2" t="s">
        <v>63</v>
      </c>
      <c r="C22" s="2" t="s">
        <v>38</v>
      </c>
      <c r="D22" s="2" t="s">
        <v>47</v>
      </c>
      <c r="E22" s="2" t="s">
        <v>9</v>
      </c>
      <c r="F22" s="2" t="s">
        <v>24</v>
      </c>
      <c r="G22" s="2" t="s">
        <v>11</v>
      </c>
      <c r="H22" s="12" t="s">
        <v>49</v>
      </c>
      <c r="I22" s="9">
        <v>40</v>
      </c>
    </row>
    <row r="23" spans="1:9" x14ac:dyDescent="0.25">
      <c r="A23" s="2" t="s">
        <v>57</v>
      </c>
      <c r="B23" s="2" t="s">
        <v>64</v>
      </c>
      <c r="C23" s="2" t="s">
        <v>38</v>
      </c>
      <c r="D23" s="2" t="s">
        <v>39</v>
      </c>
      <c r="E23" s="2" t="s">
        <v>9</v>
      </c>
      <c r="F23" s="2" t="s">
        <v>48</v>
      </c>
      <c r="G23" s="2" t="s">
        <v>11</v>
      </c>
      <c r="H23" s="12" t="s">
        <v>49</v>
      </c>
      <c r="I23" s="9">
        <v>20</v>
      </c>
    </row>
    <row r="24" spans="1:9" x14ac:dyDescent="0.25">
      <c r="A24" s="2" t="s">
        <v>57</v>
      </c>
      <c r="B24" s="2" t="s">
        <v>15</v>
      </c>
      <c r="C24" s="2" t="s">
        <v>7</v>
      </c>
      <c r="D24" s="2" t="s">
        <v>8</v>
      </c>
      <c r="E24" s="2" t="s">
        <v>9</v>
      </c>
      <c r="F24" s="2" t="s">
        <v>16</v>
      </c>
      <c r="G24" s="2" t="s">
        <v>11</v>
      </c>
      <c r="H24" s="12" t="s">
        <v>12</v>
      </c>
      <c r="I24" s="9">
        <v>660</v>
      </c>
    </row>
    <row r="25" spans="1:9" x14ac:dyDescent="0.25">
      <c r="A25" s="2" t="s">
        <v>59</v>
      </c>
      <c r="B25" s="2" t="s">
        <v>17</v>
      </c>
      <c r="C25" s="2" t="s">
        <v>18</v>
      </c>
      <c r="D25" s="2" t="s">
        <v>19</v>
      </c>
      <c r="E25" s="2" t="s">
        <v>20</v>
      </c>
      <c r="F25" s="2" t="s">
        <v>21</v>
      </c>
      <c r="G25" s="2" t="s">
        <v>11</v>
      </c>
      <c r="H25" s="12" t="s">
        <v>22</v>
      </c>
      <c r="I25" s="9">
        <v>10</v>
      </c>
    </row>
    <row r="26" spans="1:9" x14ac:dyDescent="0.25">
      <c r="A26" s="2" t="s">
        <v>58</v>
      </c>
      <c r="B26" s="2" t="s">
        <v>23</v>
      </c>
      <c r="C26" s="2" t="s">
        <v>18</v>
      </c>
      <c r="D26" s="2" t="s">
        <v>19</v>
      </c>
      <c r="E26" s="2" t="s">
        <v>20</v>
      </c>
      <c r="F26" s="2" t="s">
        <v>24</v>
      </c>
      <c r="G26" s="2" t="s">
        <v>11</v>
      </c>
      <c r="H26" s="12" t="s">
        <v>22</v>
      </c>
      <c r="I26" s="9">
        <v>300</v>
      </c>
    </row>
    <row r="27" spans="1:9" x14ac:dyDescent="0.25">
      <c r="A27" s="2" t="s">
        <v>57</v>
      </c>
      <c r="B27" s="2" t="s">
        <v>25</v>
      </c>
      <c r="C27" s="2" t="s">
        <v>18</v>
      </c>
      <c r="D27" s="2" t="s">
        <v>19</v>
      </c>
      <c r="E27" s="2" t="s">
        <v>20</v>
      </c>
      <c r="F27" s="2" t="s">
        <v>26</v>
      </c>
      <c r="G27" s="2" t="s">
        <v>11</v>
      </c>
      <c r="H27" s="12" t="s">
        <v>22</v>
      </c>
      <c r="I27" s="9">
        <v>10</v>
      </c>
    </row>
    <row r="28" spans="1:9" x14ac:dyDescent="0.25">
      <c r="A28" s="2" t="s">
        <v>59</v>
      </c>
      <c r="B28" s="2" t="s">
        <v>27</v>
      </c>
      <c r="C28" s="2" t="s">
        <v>28</v>
      </c>
      <c r="D28" s="2" t="s">
        <v>29</v>
      </c>
      <c r="E28" s="2" t="s">
        <v>30</v>
      </c>
      <c r="F28" s="2" t="s">
        <v>31</v>
      </c>
      <c r="G28" s="2" t="s">
        <v>11</v>
      </c>
      <c r="H28" s="12" t="s">
        <v>32</v>
      </c>
      <c r="I28" s="9">
        <v>80</v>
      </c>
    </row>
    <row r="29" spans="1:9" x14ac:dyDescent="0.25">
      <c r="A29" s="2" t="s">
        <v>58</v>
      </c>
      <c r="B29" s="2" t="s">
        <v>33</v>
      </c>
      <c r="C29" s="2" t="s">
        <v>28</v>
      </c>
      <c r="D29" s="2" t="s">
        <v>29</v>
      </c>
      <c r="E29" s="2" t="s">
        <v>30</v>
      </c>
      <c r="F29" s="2" t="s">
        <v>34</v>
      </c>
      <c r="G29" s="2" t="s">
        <v>11</v>
      </c>
      <c r="H29" s="12" t="s">
        <v>32</v>
      </c>
      <c r="I29" s="9">
        <v>13</v>
      </c>
    </row>
    <row r="30" spans="1:9" x14ac:dyDescent="0.25">
      <c r="A30" s="2" t="s">
        <v>57</v>
      </c>
      <c r="B30" s="2" t="s">
        <v>35</v>
      </c>
      <c r="C30" s="2" t="s">
        <v>28</v>
      </c>
      <c r="D30" s="2" t="s">
        <v>29</v>
      </c>
      <c r="E30" s="2" t="s">
        <v>30</v>
      </c>
      <c r="F30" s="2" t="s">
        <v>36</v>
      </c>
      <c r="G30" s="2" t="s">
        <v>11</v>
      </c>
      <c r="H30" s="12" t="s">
        <v>32</v>
      </c>
      <c r="I30" s="9">
        <v>50</v>
      </c>
    </row>
    <row r="31" spans="1:9" x14ac:dyDescent="0.25">
      <c r="A31" s="2" t="s">
        <v>59</v>
      </c>
      <c r="B31" s="2" t="s">
        <v>37</v>
      </c>
      <c r="C31" s="2" t="s">
        <v>38</v>
      </c>
      <c r="D31" s="2" t="s">
        <v>39</v>
      </c>
      <c r="E31" s="2" t="s">
        <v>9</v>
      </c>
      <c r="F31" s="2" t="s">
        <v>40</v>
      </c>
      <c r="G31" s="2" t="s">
        <v>11</v>
      </c>
      <c r="H31" s="12" t="s">
        <v>41</v>
      </c>
      <c r="I31" s="9">
        <v>20</v>
      </c>
    </row>
    <row r="32" spans="1:9" x14ac:dyDescent="0.25">
      <c r="A32" s="2" t="s">
        <v>57</v>
      </c>
      <c r="B32" s="2" t="s">
        <v>42</v>
      </c>
      <c r="C32" s="2" t="s">
        <v>38</v>
      </c>
      <c r="D32" s="2" t="s">
        <v>39</v>
      </c>
      <c r="E32" s="2" t="s">
        <v>9</v>
      </c>
      <c r="F32" s="2" t="s">
        <v>43</v>
      </c>
      <c r="G32" s="2" t="s">
        <v>11</v>
      </c>
      <c r="H32" s="12" t="s">
        <v>41</v>
      </c>
      <c r="I32" s="9">
        <v>10</v>
      </c>
    </row>
  </sheetData>
  <mergeCells count="1">
    <mergeCell ref="A1:I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F1190-081B-4250-966E-EAB846B1F5B2}">
  <dimension ref="A1:A9"/>
  <sheetViews>
    <sheetView workbookViewId="0">
      <selection activeCell="A9" sqref="A9"/>
    </sheetView>
  </sheetViews>
  <sheetFormatPr defaultRowHeight="15" x14ac:dyDescent="0.25"/>
  <cols>
    <col min="1" max="1" width="50.140625" customWidth="1"/>
  </cols>
  <sheetData>
    <row r="1" spans="1:1" ht="30.75" customHeight="1" x14ac:dyDescent="0.35">
      <c r="A1" s="3" t="s">
        <v>74</v>
      </c>
    </row>
    <row r="2" spans="1:1" ht="21" x14ac:dyDescent="0.35">
      <c r="A2" s="4" t="s">
        <v>66</v>
      </c>
    </row>
    <row r="3" spans="1:1" ht="21" x14ac:dyDescent="0.35">
      <c r="A3" s="4" t="s">
        <v>67</v>
      </c>
    </row>
    <row r="4" spans="1:1" ht="21" x14ac:dyDescent="0.35">
      <c r="A4" s="4" t="s">
        <v>68</v>
      </c>
    </row>
    <row r="5" spans="1:1" ht="21" x14ac:dyDescent="0.35">
      <c r="A5" s="4" t="s">
        <v>69</v>
      </c>
    </row>
    <row r="6" spans="1:1" ht="21" x14ac:dyDescent="0.35">
      <c r="A6" s="4" t="s">
        <v>70</v>
      </c>
    </row>
    <row r="7" spans="1:1" ht="21" x14ac:dyDescent="0.35">
      <c r="A7" s="4" t="s">
        <v>71</v>
      </c>
    </row>
    <row r="8" spans="1:1" ht="21" x14ac:dyDescent="0.35">
      <c r="A8" s="4" t="s">
        <v>72</v>
      </c>
    </row>
    <row r="9" spans="1:1" ht="21" x14ac:dyDescent="0.35">
      <c r="A9" s="4" t="s">
        <v>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34772-0B63-44A3-B781-1AB042AD365C}">
  <dimension ref="A1:A9"/>
  <sheetViews>
    <sheetView topLeftCell="A10" workbookViewId="0">
      <selection activeCell="K5" sqref="K5"/>
    </sheetView>
  </sheetViews>
  <sheetFormatPr defaultRowHeight="15" x14ac:dyDescent="0.25"/>
  <cols>
    <col min="1" max="1" width="20.140625" style="18" customWidth="1"/>
    <col min="2" max="16384" width="9.140625" style="18"/>
  </cols>
  <sheetData>
    <row r="1" spans="1:1" ht="30.75" customHeight="1" x14ac:dyDescent="0.35">
      <c r="A1" s="17"/>
    </row>
    <row r="2" spans="1:1" ht="21" x14ac:dyDescent="0.35">
      <c r="A2" s="19"/>
    </row>
    <row r="3" spans="1:1" ht="21" x14ac:dyDescent="0.35">
      <c r="A3" s="19"/>
    </row>
    <row r="4" spans="1:1" ht="21" x14ac:dyDescent="0.35">
      <c r="A4" s="19"/>
    </row>
    <row r="5" spans="1:1" ht="21" x14ac:dyDescent="0.35">
      <c r="A5" s="19"/>
    </row>
    <row r="6" spans="1:1" ht="21" x14ac:dyDescent="0.35">
      <c r="A6" s="19"/>
    </row>
    <row r="7" spans="1:1" ht="21" x14ac:dyDescent="0.35">
      <c r="A7" s="19"/>
    </row>
    <row r="8" spans="1:1" ht="21" x14ac:dyDescent="0.35">
      <c r="A8" s="19"/>
    </row>
    <row r="9" spans="1:1" ht="21" x14ac:dyDescent="0.35">
      <c r="A9" s="1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CCB5-73C8-4033-BC54-5CB5C140C037}">
  <dimension ref="A1:A9"/>
  <sheetViews>
    <sheetView workbookViewId="0">
      <selection activeCell="K5" sqref="K5"/>
    </sheetView>
  </sheetViews>
  <sheetFormatPr defaultRowHeight="15" x14ac:dyDescent="0.25"/>
  <cols>
    <col min="1" max="1" width="20.140625" style="18" customWidth="1"/>
    <col min="2" max="16384" width="9.140625" style="18"/>
  </cols>
  <sheetData>
    <row r="1" spans="1:1" ht="30.75" customHeight="1" x14ac:dyDescent="0.35">
      <c r="A1" s="17"/>
    </row>
    <row r="2" spans="1:1" ht="21" x14ac:dyDescent="0.35">
      <c r="A2" s="19"/>
    </row>
    <row r="3" spans="1:1" ht="21" x14ac:dyDescent="0.35">
      <c r="A3" s="19"/>
    </row>
    <row r="4" spans="1:1" ht="21" x14ac:dyDescent="0.35">
      <c r="A4" s="19"/>
    </row>
    <row r="5" spans="1:1" ht="21" x14ac:dyDescent="0.35">
      <c r="A5" s="19"/>
    </row>
    <row r="6" spans="1:1" ht="21" x14ac:dyDescent="0.35">
      <c r="A6" s="19"/>
    </row>
    <row r="7" spans="1:1" ht="21" x14ac:dyDescent="0.35">
      <c r="A7" s="19"/>
    </row>
    <row r="8" spans="1:1" ht="21" x14ac:dyDescent="0.35">
      <c r="A8" s="19"/>
    </row>
    <row r="9" spans="1:1" ht="21" x14ac:dyDescent="0.35">
      <c r="A9" s="1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D4DE3-C300-449B-9AE6-5D056B4363F3}">
  <dimension ref="A1:A9"/>
  <sheetViews>
    <sheetView topLeftCell="B5" workbookViewId="0">
      <selection activeCell="K5" sqref="K5"/>
    </sheetView>
  </sheetViews>
  <sheetFormatPr defaultRowHeight="15" x14ac:dyDescent="0.25"/>
  <cols>
    <col min="1" max="1" width="20.140625" style="18" customWidth="1"/>
    <col min="2" max="16384" width="9.140625" style="18"/>
  </cols>
  <sheetData>
    <row r="1" spans="1:1" ht="30.75" customHeight="1" x14ac:dyDescent="0.35">
      <c r="A1" s="17"/>
    </row>
    <row r="2" spans="1:1" ht="21" x14ac:dyDescent="0.35">
      <c r="A2" s="19"/>
    </row>
    <row r="3" spans="1:1" ht="21" x14ac:dyDescent="0.35">
      <c r="A3" s="19"/>
    </row>
    <row r="4" spans="1:1" ht="21" x14ac:dyDescent="0.35">
      <c r="A4" s="19"/>
    </row>
    <row r="5" spans="1:1" ht="21" x14ac:dyDescent="0.35">
      <c r="A5" s="19"/>
    </row>
    <row r="6" spans="1:1" ht="21" x14ac:dyDescent="0.35">
      <c r="A6" s="19"/>
    </row>
    <row r="7" spans="1:1" ht="21" x14ac:dyDescent="0.35">
      <c r="A7" s="19"/>
    </row>
    <row r="8" spans="1:1" ht="21" x14ac:dyDescent="0.35">
      <c r="A8" s="19"/>
    </row>
    <row r="9" spans="1:1" ht="21" x14ac:dyDescent="0.35">
      <c r="A9" s="1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C71EE-2828-4476-9A80-6B6F6562F2DE}">
  <dimension ref="A3:B7"/>
  <sheetViews>
    <sheetView workbookViewId="0">
      <selection activeCell="B5" sqref="B5"/>
    </sheetView>
  </sheetViews>
  <sheetFormatPr defaultRowHeight="15" x14ac:dyDescent="0.25"/>
  <cols>
    <col min="1" max="1" width="20.5703125" bestFit="1" customWidth="1"/>
    <col min="2" max="2" width="16.7109375" bestFit="1" customWidth="1"/>
  </cols>
  <sheetData>
    <row r="3" spans="1:2" x14ac:dyDescent="0.25">
      <c r="A3" s="5" t="s">
        <v>76</v>
      </c>
      <c r="B3" t="s">
        <v>78</v>
      </c>
    </row>
    <row r="4" spans="1:2" x14ac:dyDescent="0.25">
      <c r="A4" s="6" t="s">
        <v>57</v>
      </c>
      <c r="B4" s="7">
        <v>13</v>
      </c>
    </row>
    <row r="5" spans="1:2" x14ac:dyDescent="0.25">
      <c r="A5" s="6" t="s">
        <v>59</v>
      </c>
      <c r="B5" s="7">
        <v>10</v>
      </c>
    </row>
    <row r="6" spans="1:2" x14ac:dyDescent="0.25">
      <c r="A6" s="6" t="s">
        <v>58</v>
      </c>
      <c r="B6" s="7">
        <v>7</v>
      </c>
    </row>
    <row r="7" spans="1:2" x14ac:dyDescent="0.25">
      <c r="A7" s="6" t="s">
        <v>77</v>
      </c>
      <c r="B7" s="7">
        <v>30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6E023-1C2E-4786-B060-CF9459072B88}">
  <dimension ref="A3:B9"/>
  <sheetViews>
    <sheetView topLeftCell="A3" workbookViewId="0">
      <selection activeCell="H23" sqref="H23"/>
    </sheetView>
  </sheetViews>
  <sheetFormatPr defaultRowHeight="15" x14ac:dyDescent="0.25"/>
  <cols>
    <col min="1" max="1" width="13.140625" bestFit="1" customWidth="1"/>
    <col min="2" max="2" width="16.7109375" bestFit="1" customWidth="1"/>
  </cols>
  <sheetData>
    <row r="3" spans="1:2" x14ac:dyDescent="0.25">
      <c r="A3" s="5" t="s">
        <v>76</v>
      </c>
      <c r="B3" t="s">
        <v>78</v>
      </c>
    </row>
    <row r="4" spans="1:2" x14ac:dyDescent="0.25">
      <c r="A4" s="6" t="s">
        <v>49</v>
      </c>
      <c r="B4" s="7">
        <v>9</v>
      </c>
    </row>
    <row r="5" spans="1:2" x14ac:dyDescent="0.25">
      <c r="A5" s="6" t="s">
        <v>41</v>
      </c>
      <c r="B5" s="7">
        <v>5</v>
      </c>
    </row>
    <row r="6" spans="1:2" x14ac:dyDescent="0.25">
      <c r="A6" s="6" t="s">
        <v>32</v>
      </c>
      <c r="B6" s="7">
        <v>6</v>
      </c>
    </row>
    <row r="7" spans="1:2" x14ac:dyDescent="0.25">
      <c r="A7" s="6" t="s">
        <v>22</v>
      </c>
      <c r="B7" s="7">
        <v>6</v>
      </c>
    </row>
    <row r="8" spans="1:2" x14ac:dyDescent="0.25">
      <c r="A8" s="6" t="s">
        <v>12</v>
      </c>
      <c r="B8" s="7">
        <v>4</v>
      </c>
    </row>
    <row r="9" spans="1:2" x14ac:dyDescent="0.25">
      <c r="A9" s="6" t="s">
        <v>77</v>
      </c>
      <c r="B9" s="7">
        <v>30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FD532-D567-4574-B9BC-36BA2EEEF7D3}">
  <dimension ref="A3:B7"/>
  <sheetViews>
    <sheetView workbookViewId="0">
      <selection activeCell="J4" sqref="J4"/>
    </sheetView>
  </sheetViews>
  <sheetFormatPr defaultRowHeight="15" x14ac:dyDescent="0.25"/>
  <cols>
    <col min="1" max="1" width="13.140625" bestFit="1" customWidth="1"/>
    <col min="2" max="2" width="16.7109375" bestFit="1" customWidth="1"/>
  </cols>
  <sheetData>
    <row r="3" spans="1:2" x14ac:dyDescent="0.25">
      <c r="A3" s="5" t="s">
        <v>76</v>
      </c>
      <c r="B3" t="s">
        <v>78</v>
      </c>
    </row>
    <row r="4" spans="1:2" x14ac:dyDescent="0.25">
      <c r="A4" s="6" t="s">
        <v>30</v>
      </c>
      <c r="B4" s="7">
        <v>11</v>
      </c>
    </row>
    <row r="5" spans="1:2" x14ac:dyDescent="0.25">
      <c r="A5" s="6" t="s">
        <v>9</v>
      </c>
      <c r="B5" s="7">
        <v>11</v>
      </c>
    </row>
    <row r="6" spans="1:2" x14ac:dyDescent="0.25">
      <c r="A6" s="6" t="s">
        <v>20</v>
      </c>
      <c r="B6" s="7">
        <v>8</v>
      </c>
    </row>
    <row r="7" spans="1:2" x14ac:dyDescent="0.25">
      <c r="A7" s="6" t="s">
        <v>77</v>
      </c>
      <c r="B7" s="7">
        <v>30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FCE68-5CFD-4156-BE07-6045556C70C3}">
  <dimension ref="A3:B9"/>
  <sheetViews>
    <sheetView workbookViewId="0">
      <selection activeCell="A3" sqref="A3"/>
    </sheetView>
  </sheetViews>
  <sheetFormatPr defaultRowHeight="15" x14ac:dyDescent="0.25"/>
  <cols>
    <col min="1" max="1" width="13.140625" bestFit="1" customWidth="1"/>
    <col min="2" max="2" width="16.140625" bestFit="1" customWidth="1"/>
  </cols>
  <sheetData>
    <row r="3" spans="1:2" x14ac:dyDescent="0.25">
      <c r="A3" s="5" t="s">
        <v>76</v>
      </c>
      <c r="B3" t="s">
        <v>79</v>
      </c>
    </row>
    <row r="4" spans="1:2" x14ac:dyDescent="0.25">
      <c r="A4" s="6" t="s">
        <v>29</v>
      </c>
      <c r="B4" s="8">
        <v>0.2</v>
      </c>
    </row>
    <row r="5" spans="1:2" x14ac:dyDescent="0.25">
      <c r="A5" s="6" t="s">
        <v>39</v>
      </c>
      <c r="B5" s="8">
        <v>0.23333333333333334</v>
      </c>
    </row>
    <row r="6" spans="1:2" x14ac:dyDescent="0.25">
      <c r="A6" s="6" t="s">
        <v>19</v>
      </c>
      <c r="B6" s="8">
        <v>0.23333333333333334</v>
      </c>
    </row>
    <row r="7" spans="1:2" x14ac:dyDescent="0.25">
      <c r="A7" s="6" t="s">
        <v>8</v>
      </c>
      <c r="B7" s="8">
        <v>0.16666666666666666</v>
      </c>
    </row>
    <row r="8" spans="1:2" x14ac:dyDescent="0.25">
      <c r="A8" s="6" t="s">
        <v>47</v>
      </c>
      <c r="B8" s="8">
        <v>0.16666666666666666</v>
      </c>
    </row>
    <row r="9" spans="1:2" x14ac:dyDescent="0.25">
      <c r="A9" s="6" t="s">
        <v>77</v>
      </c>
      <c r="B9" s="8">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31579-AC89-42CD-A97B-600EED1EA3B8}">
  <dimension ref="A3:B9"/>
  <sheetViews>
    <sheetView workbookViewId="0">
      <selection activeCell="E21" sqref="E21"/>
    </sheetView>
  </sheetViews>
  <sheetFormatPr defaultRowHeight="15" x14ac:dyDescent="0.25"/>
  <cols>
    <col min="1" max="1" width="35.140625" bestFit="1" customWidth="1"/>
    <col min="2" max="2" width="20.5703125" bestFit="1" customWidth="1"/>
  </cols>
  <sheetData>
    <row r="3" spans="1:2" x14ac:dyDescent="0.25">
      <c r="A3" s="5" t="s">
        <v>76</v>
      </c>
      <c r="B3" t="s">
        <v>80</v>
      </c>
    </row>
    <row r="4" spans="1:2" x14ac:dyDescent="0.25">
      <c r="A4" s="6" t="s">
        <v>7</v>
      </c>
      <c r="B4" s="10">
        <v>800</v>
      </c>
    </row>
    <row r="5" spans="1:2" x14ac:dyDescent="0.25">
      <c r="A5" s="6" t="s">
        <v>38</v>
      </c>
      <c r="B5" s="10">
        <v>498</v>
      </c>
    </row>
    <row r="6" spans="1:2" x14ac:dyDescent="0.25">
      <c r="A6" s="6" t="s">
        <v>18</v>
      </c>
      <c r="B6" s="10">
        <v>414</v>
      </c>
    </row>
    <row r="7" spans="1:2" x14ac:dyDescent="0.25">
      <c r="A7" s="6" t="s">
        <v>46</v>
      </c>
      <c r="B7" s="10">
        <v>267</v>
      </c>
    </row>
    <row r="8" spans="1:2" x14ac:dyDescent="0.25">
      <c r="A8" s="6" t="s">
        <v>28</v>
      </c>
      <c r="B8" s="10">
        <v>223</v>
      </c>
    </row>
    <row r="9" spans="1:2" x14ac:dyDescent="0.25">
      <c r="A9" s="6" t="s">
        <v>77</v>
      </c>
      <c r="B9" s="7">
        <v>2202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5CC5B-F0CD-4741-8B05-7ADCADB50453}">
  <dimension ref="A3:B8"/>
  <sheetViews>
    <sheetView topLeftCell="B4" workbookViewId="0">
      <selection activeCell="A7" sqref="A4:A7"/>
    </sheetView>
  </sheetViews>
  <sheetFormatPr defaultRowHeight="15" x14ac:dyDescent="0.25"/>
  <cols>
    <col min="1" max="1" width="39" bestFit="1" customWidth="1"/>
    <col min="2" max="2" width="17" bestFit="1" customWidth="1"/>
  </cols>
  <sheetData>
    <row r="3" spans="1:2" x14ac:dyDescent="0.25">
      <c r="A3" s="5" t="s">
        <v>76</v>
      </c>
      <c r="B3" t="s">
        <v>81</v>
      </c>
    </row>
    <row r="4" spans="1:2" x14ac:dyDescent="0.25">
      <c r="A4" s="6" t="s">
        <v>24</v>
      </c>
      <c r="B4" s="7">
        <v>4</v>
      </c>
    </row>
    <row r="5" spans="1:2" x14ac:dyDescent="0.25">
      <c r="A5" s="6" t="s">
        <v>43</v>
      </c>
      <c r="B5" s="7">
        <v>3</v>
      </c>
    </row>
    <row r="6" spans="1:2" x14ac:dyDescent="0.25">
      <c r="A6" s="6" t="s">
        <v>40</v>
      </c>
      <c r="B6" s="7">
        <v>3</v>
      </c>
    </row>
    <row r="7" spans="1:2" x14ac:dyDescent="0.25">
      <c r="A7" s="6" t="s">
        <v>36</v>
      </c>
      <c r="B7" s="7">
        <v>3</v>
      </c>
    </row>
    <row r="8" spans="1:2" x14ac:dyDescent="0.25">
      <c r="A8" s="6" t="s">
        <v>77</v>
      </c>
      <c r="B8" s="7">
        <v>13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BE2F0-D0BE-42F0-A0EE-AD85105B0F0D}">
  <dimension ref="A3:B10"/>
  <sheetViews>
    <sheetView topLeftCell="B1" zoomScale="89" workbookViewId="0">
      <selection activeCell="I23" sqref="I23"/>
    </sheetView>
  </sheetViews>
  <sheetFormatPr defaultRowHeight="15" x14ac:dyDescent="0.25"/>
  <cols>
    <col min="1" max="1" width="22.42578125" bestFit="1" customWidth="1"/>
    <col min="2" max="2" width="17" bestFit="1" customWidth="1"/>
  </cols>
  <sheetData>
    <row r="3" spans="1:2" x14ac:dyDescent="0.25">
      <c r="A3" s="5" t="s">
        <v>76</v>
      </c>
      <c r="B3" t="s">
        <v>81</v>
      </c>
    </row>
    <row r="4" spans="1:2" x14ac:dyDescent="0.25">
      <c r="A4" s="6" t="s">
        <v>57</v>
      </c>
      <c r="B4" s="7">
        <v>13</v>
      </c>
    </row>
    <row r="5" spans="1:2" x14ac:dyDescent="0.25">
      <c r="A5" s="16" t="s">
        <v>11</v>
      </c>
      <c r="B5" s="7">
        <v>13</v>
      </c>
    </row>
    <row r="6" spans="1:2" x14ac:dyDescent="0.25">
      <c r="A6" s="6" t="s">
        <v>59</v>
      </c>
      <c r="B6" s="7">
        <v>10</v>
      </c>
    </row>
    <row r="7" spans="1:2" x14ac:dyDescent="0.25">
      <c r="A7" s="16" t="s">
        <v>11</v>
      </c>
      <c r="B7" s="7">
        <v>10</v>
      </c>
    </row>
    <row r="8" spans="1:2" x14ac:dyDescent="0.25">
      <c r="A8" s="6" t="s">
        <v>58</v>
      </c>
      <c r="B8" s="7">
        <v>7</v>
      </c>
    </row>
    <row r="9" spans="1:2" x14ac:dyDescent="0.25">
      <c r="A9" s="16" t="s">
        <v>11</v>
      </c>
      <c r="B9" s="7">
        <v>7</v>
      </c>
    </row>
    <row r="10" spans="1:2" x14ac:dyDescent="0.25">
      <c r="A10" s="6" t="s">
        <v>77</v>
      </c>
      <c r="B10" s="7">
        <v>30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742C-37A5-4B59-AF5D-0BE987BD01C2}">
  <dimension ref="A1"/>
  <sheetViews>
    <sheetView tabSelected="1" topLeftCell="A15" zoomScale="81" zoomScaleNormal="106" workbookViewId="0">
      <selection activeCell="AB18" sqref="AB18"/>
    </sheetView>
  </sheetViews>
  <sheetFormatPr defaultRowHeight="15" x14ac:dyDescent="0.25"/>
  <cols>
    <col min="1" max="16384" width="9.140625" style="1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Historical_ticket_data</vt:lpstr>
      <vt:lpstr>Analysis</vt:lpstr>
      <vt:lpstr>Pre Analysis </vt:lpstr>
      <vt:lpstr>In Analysis</vt:lpstr>
      <vt:lpstr>Observation &amp; Recommendation</vt:lpstr>
      <vt:lpstr>Top Companies by Ticket Volume</vt:lpstr>
      <vt:lpstr>Ticket Trends Over Time</vt:lpstr>
      <vt:lpstr>Priority Breakdown</vt:lpstr>
      <vt:lpstr>Sentiment vs. Priority</vt:lpstr>
      <vt:lpstr>Spending vs. Issue Category</vt:lpstr>
      <vt:lpstr>Most Used Solutions</vt:lpstr>
      <vt:lpstr>Resolution Rate by Company</vt:lpstr>
      <vt:lpstr>Dashboard for Jeroid.NG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Sammiegrm .</dc:creator>
  <cp:lastModifiedBy>HP</cp:lastModifiedBy>
  <dcterms:created xsi:type="dcterms:W3CDTF">2025-03-29T17:59:51Z</dcterms:created>
  <dcterms:modified xsi:type="dcterms:W3CDTF">2025-03-31T14:55:30Z</dcterms:modified>
</cp:coreProperties>
</file>